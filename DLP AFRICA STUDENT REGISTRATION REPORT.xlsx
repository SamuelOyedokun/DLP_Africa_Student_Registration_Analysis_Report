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0145" windowHeight="7680" activeTab="1"/>
  </bookViews>
  <sheets>
    <sheet name="REGISTRATION REPORT" sheetId="1" r:id="rId1"/>
    <sheet name="PIVOT TABLE" sheetId="6" r:id="rId2"/>
    <sheet name="COURSE COUNT ANALYSIS" sheetId="2" r:id="rId3"/>
    <sheet name="GENDER ANALYSIS" sheetId="4" r:id="rId4"/>
    <sheet name="AGE ANALYSIS" sheetId="7" r:id="rId5"/>
    <sheet name="LOOKUP ANALYSIS" sheetId="9" r:id="rId6"/>
    <sheet name="DASHBOARD" sheetId="5" r:id="rId7"/>
    <sheet name="EXECUTIVE SUMMARY" sheetId="8" r:id="rId8"/>
  </sheets>
  <externalReferences>
    <externalReference r:id="rId9"/>
  </externalReferences>
  <calcPr calcId="152511"/>
  <pivotCaches>
    <pivotCache cacheId="0" r:id="rId10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4" i="5" l="1"/>
  <c r="C9" i="5"/>
  <c r="C8" i="5"/>
  <c r="B34" i="9"/>
  <c r="B32" i="9"/>
  <c r="B31" i="9"/>
  <c r="B30" i="9"/>
  <c r="B29" i="9"/>
  <c r="B7" i="9"/>
  <c r="B6" i="9"/>
  <c r="B5" i="9"/>
  <c r="B4" i="9"/>
  <c r="C17" i="9"/>
  <c r="D17" i="9"/>
  <c r="E17" i="9"/>
  <c r="F17" i="9"/>
  <c r="G17" i="9"/>
  <c r="H17" i="9"/>
  <c r="I17" i="9"/>
  <c r="B17" i="9"/>
  <c r="B22" i="9" s="1"/>
  <c r="C16" i="9"/>
  <c r="D16" i="9"/>
  <c r="E16" i="9"/>
  <c r="F16" i="9"/>
  <c r="G16" i="9"/>
  <c r="H16" i="9"/>
  <c r="I16" i="9"/>
  <c r="B16" i="9"/>
  <c r="B21" i="9" s="1"/>
  <c r="C15" i="9"/>
  <c r="D15" i="9"/>
  <c r="E15" i="9"/>
  <c r="F15" i="9"/>
  <c r="G15" i="9"/>
  <c r="H15" i="9"/>
  <c r="I15" i="9"/>
  <c r="B15" i="9"/>
  <c r="B20" i="9" s="1"/>
  <c r="D4" i="4"/>
  <c r="D5" i="4"/>
  <c r="D6" i="4"/>
  <c r="D7" i="4"/>
  <c r="D8" i="4"/>
  <c r="D9" i="4"/>
  <c r="D10" i="4"/>
  <c r="D3" i="4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B9" i="9" s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8" i="1"/>
  <c r="F7" i="1"/>
  <c r="F5" i="1"/>
  <c r="F6" i="1"/>
  <c r="F4" i="1"/>
  <c r="F3" i="1"/>
  <c r="B33" i="9" s="1"/>
  <c r="B23" i="7"/>
  <c r="C19" i="7"/>
  <c r="C18" i="7"/>
  <c r="C17" i="7"/>
  <c r="F11" i="7"/>
  <c r="F10" i="7"/>
  <c r="F9" i="7"/>
  <c r="F8" i="7"/>
  <c r="F7" i="7"/>
  <c r="F6" i="7"/>
  <c r="F5" i="7"/>
  <c r="F4" i="7"/>
  <c r="F3" i="7"/>
  <c r="E11" i="7"/>
  <c r="E10" i="7"/>
  <c r="E9" i="7"/>
  <c r="E8" i="7"/>
  <c r="E7" i="7"/>
  <c r="E6" i="7"/>
  <c r="E5" i="7"/>
  <c r="E4" i="7"/>
  <c r="E3" i="7"/>
  <c r="C11" i="7"/>
  <c r="C10" i="7"/>
  <c r="C9" i="7"/>
  <c r="C8" i="7"/>
  <c r="C7" i="7"/>
  <c r="C6" i="7"/>
  <c r="C5" i="7"/>
  <c r="C4" i="7"/>
  <c r="C3" i="7"/>
  <c r="H4" i="5"/>
  <c r="B4" i="5"/>
  <c r="F4" i="5"/>
  <c r="C16" i="5"/>
  <c r="C15" i="5"/>
  <c r="C14" i="5"/>
  <c r="C13" i="5"/>
  <c r="C12" i="5"/>
  <c r="C11" i="5"/>
  <c r="C10" i="5"/>
  <c r="C3" i="2"/>
  <c r="C4" i="4"/>
  <c r="C5" i="4"/>
  <c r="C6" i="4"/>
  <c r="C7" i="4"/>
  <c r="C8" i="4"/>
  <c r="C9" i="4"/>
  <c r="C10" i="4"/>
  <c r="C3" i="4"/>
  <c r="C4" i="2"/>
  <c r="C5" i="2"/>
  <c r="C6" i="2"/>
  <c r="C7" i="2"/>
  <c r="C8" i="2"/>
  <c r="C9" i="2"/>
  <c r="C10" i="2"/>
  <c r="B8" i="9" l="1"/>
  <c r="D18" i="7"/>
  <c r="D17" i="7"/>
  <c r="D4" i="5"/>
  <c r="D11" i="4"/>
  <c r="F9" i="4" s="1"/>
  <c r="D6" i="7"/>
  <c r="D10" i="7"/>
  <c r="C12" i="7"/>
  <c r="D4" i="7"/>
  <c r="F12" i="7"/>
  <c r="D7" i="7"/>
  <c r="D11" i="7"/>
  <c r="D8" i="7"/>
  <c r="E12" i="7"/>
  <c r="D19" i="7"/>
  <c r="C20" i="7"/>
  <c r="D20" i="7" s="1"/>
  <c r="D9" i="7"/>
  <c r="D5" i="7"/>
  <c r="D3" i="7"/>
  <c r="C11" i="4"/>
  <c r="E9" i="4" s="1"/>
  <c r="E7" i="2"/>
  <c r="E3" i="2"/>
  <c r="E10" i="2"/>
  <c r="E6" i="2"/>
  <c r="E9" i="2"/>
  <c r="E5" i="2"/>
  <c r="E8" i="2"/>
  <c r="E4" i="2"/>
  <c r="C11" i="2"/>
  <c r="D10" i="2" s="1"/>
  <c r="F4" i="4" l="1"/>
  <c r="F10" i="4"/>
  <c r="E6" i="4"/>
  <c r="E4" i="4"/>
  <c r="F8" i="4"/>
  <c r="E5" i="4"/>
  <c r="E10" i="4"/>
  <c r="E8" i="4"/>
  <c r="E7" i="4"/>
  <c r="F7" i="4"/>
  <c r="F5" i="4"/>
  <c r="F6" i="4"/>
  <c r="E3" i="4"/>
  <c r="F3" i="4"/>
  <c r="D12" i="7"/>
  <c r="D3" i="2"/>
  <c r="D11" i="2"/>
  <c r="D6" i="2"/>
  <c r="D5" i="2"/>
  <c r="D9" i="2"/>
  <c r="D4" i="2"/>
  <c r="D7" i="2"/>
  <c r="D8" i="2"/>
  <c r="E11" i="4" l="1"/>
  <c r="F11" i="4"/>
</calcChain>
</file>

<file path=xl/sharedStrings.xml><?xml version="1.0" encoding="utf-8"?>
<sst xmlns="http://schemas.openxmlformats.org/spreadsheetml/2006/main" count="290" uniqueCount="115">
  <si>
    <t>ID</t>
  </si>
  <si>
    <t>NAME</t>
  </si>
  <si>
    <t>COURSE</t>
  </si>
  <si>
    <t>GENDER</t>
  </si>
  <si>
    <t>AGE</t>
  </si>
  <si>
    <t>DATE</t>
  </si>
  <si>
    <t>STUDENT REGISTRATION REPORT</t>
  </si>
  <si>
    <t>CHIDI OBI</t>
  </si>
  <si>
    <t>AMAKE OKAFOR</t>
  </si>
  <si>
    <t>SEUN AJIBOLA</t>
  </si>
  <si>
    <t>NANA HAWA</t>
  </si>
  <si>
    <t>MIKE OPARA</t>
  </si>
  <si>
    <t>OKE PAUL</t>
  </si>
  <si>
    <t>JOHN PAUL</t>
  </si>
  <si>
    <t>DORCAS OJO</t>
  </si>
  <si>
    <t>CHIOMA IGWE</t>
  </si>
  <si>
    <t>BOLA BELLO</t>
  </si>
  <si>
    <t>SAMUEL SMITH</t>
  </si>
  <si>
    <t>JERRY KUDABO</t>
  </si>
  <si>
    <t>ISREAL ADEBAYO</t>
  </si>
  <si>
    <t>JOSHUA OYE</t>
  </si>
  <si>
    <t>DANIEL SEGUN</t>
  </si>
  <si>
    <t>JAMES OLA</t>
  </si>
  <si>
    <t>KUNLE THOMAS</t>
  </si>
  <si>
    <t>AISHA TAOFEQ</t>
  </si>
  <si>
    <t>ABU SAMBO</t>
  </si>
  <si>
    <t>DIKO MALLAM</t>
  </si>
  <si>
    <t>UGO WILLIAM</t>
  </si>
  <si>
    <t>CHIDOBI JAMES</t>
  </si>
  <si>
    <t>GRACE ADE</t>
  </si>
  <si>
    <t>JOHN PHILIPS</t>
  </si>
  <si>
    <t>BIDEMI FEMI</t>
  </si>
  <si>
    <t>SAM OYE</t>
  </si>
  <si>
    <t>OLA AINA</t>
  </si>
  <si>
    <t>LEKAN BADMUS</t>
  </si>
  <si>
    <t>JIDE KOSOKO</t>
  </si>
  <si>
    <t>PETER OKOYE</t>
  </si>
  <si>
    <t>DAPO DADA</t>
  </si>
  <si>
    <t>FAITH DAIKWO</t>
  </si>
  <si>
    <t>ANIBE GIFT</t>
  </si>
  <si>
    <t>MONICA NICO</t>
  </si>
  <si>
    <t>EMMANUEL EZE</t>
  </si>
  <si>
    <t>BUKAYO SAKA</t>
  </si>
  <si>
    <t>TUNDE BABA</t>
  </si>
  <si>
    <t>FATIMA BELLO</t>
  </si>
  <si>
    <t>AISHA MOHAMMED</t>
  </si>
  <si>
    <t>NGOZI NWANKWO</t>
  </si>
  <si>
    <t>DATA ANALYSIS</t>
  </si>
  <si>
    <t>WEB DEVELOPMENT</t>
  </si>
  <si>
    <t>DIGITAL MARKETING</t>
  </si>
  <si>
    <t>FRONT END DEVELOPER</t>
  </si>
  <si>
    <t>BACK END DEVELOPER</t>
  </si>
  <si>
    <t>UI/UX DESIGN</t>
  </si>
  <si>
    <t>VIDEO EDITOR</t>
  </si>
  <si>
    <t>VIRTUAL ASSISTANT</t>
  </si>
  <si>
    <t>MALE</t>
  </si>
  <si>
    <t>FEMALE</t>
  </si>
  <si>
    <t xml:space="preserve"> </t>
  </si>
  <si>
    <t>COUNT</t>
  </si>
  <si>
    <t>S/N</t>
  </si>
  <si>
    <t>TOTAL</t>
  </si>
  <si>
    <t>Count of ID</t>
  </si>
  <si>
    <t>Column Labels</t>
  </si>
  <si>
    <t>Row Labels</t>
  </si>
  <si>
    <t>Grand Total</t>
  </si>
  <si>
    <t xml:space="preserve">  </t>
  </si>
  <si>
    <t>RANK OF COURSE</t>
  </si>
  <si>
    <t>COURSE COUNT</t>
  </si>
  <si>
    <t>% OF COURSE COUNT</t>
  </si>
  <si>
    <t>COURSE COUNT ANALYSIS</t>
  </si>
  <si>
    <t>GENDER SUMMARY</t>
  </si>
  <si>
    <t>STUDENT REGISTRATION DASHBOARD</t>
  </si>
  <si>
    <t>TOTAL STUDENTS</t>
  </si>
  <si>
    <t>MOST POPULAR COURSE</t>
  </si>
  <si>
    <t>% OF FEMALE</t>
  </si>
  <si>
    <t>AVERAGE AGE</t>
  </si>
  <si>
    <t>% OF MALE</t>
  </si>
  <si>
    <t>AGE ANALYSIS REPORT</t>
  </si>
  <si>
    <t>AGE COUNT</t>
  </si>
  <si>
    <t>% OF AGE COUNT</t>
  </si>
  <si>
    <t>AGE GROUP SUMMARY TABLE</t>
  </si>
  <si>
    <t>AGE GROUP</t>
  </si>
  <si>
    <t>AGE GROUP COUNT</t>
  </si>
  <si>
    <t>% OF AGE GRP COUNT</t>
  </si>
  <si>
    <t>20-22</t>
  </si>
  <si>
    <t>23-25</t>
  </si>
  <si>
    <t>26-28</t>
  </si>
  <si>
    <t>% MALE</t>
  </si>
  <si>
    <t>% FEMALE</t>
  </si>
  <si>
    <t>STUDENT REGISTRATION — EXECUTIVE SUMMARY</t>
  </si>
  <si>
    <t>OVERVIEW</t>
  </si>
  <si>
    <t>KEY FINDING 1</t>
  </si>
  <si>
    <t>DATA ANALYSIS is the most popular course with 11 registrations representing 27.5% of total enrollment</t>
  </si>
  <si>
    <t>KEY FINDING 2</t>
  </si>
  <si>
    <t>Male students make up 60% of enrollment with 24 registered compared to 16 female students at 40%</t>
  </si>
  <si>
    <t>KEY FINDING 3</t>
  </si>
  <si>
    <t>KEY FINDING 4</t>
  </si>
  <si>
    <t>The average age of registered students is 23.3 years with the youngest being 20 and oldest being 28</t>
  </si>
  <si>
    <t>A total of 40 students registered across 8 courses between 1st to 9th of May 2026</t>
  </si>
  <si>
    <t>KEY FINDING 5</t>
  </si>
  <si>
    <t>RECOMMENDATION</t>
  </si>
  <si>
    <t>STUDENT LOOKUP SYSTEM</t>
  </si>
  <si>
    <t>ENTER STUDENT ID</t>
  </si>
  <si>
    <t>STUDENT NAME</t>
  </si>
  <si>
    <t>HLOOKUP — COURSE ENROLLMENT FINDER</t>
  </si>
  <si>
    <t>ENTER COURSE NAME</t>
  </si>
  <si>
    <t>TOTAL ENROLLED:</t>
  </si>
  <si>
    <t>MALE COUNT:</t>
  </si>
  <si>
    <t>FEMALE COUNT:</t>
  </si>
  <si>
    <t>XLOOKUP — SEARCH BY STUDENT NAME</t>
  </si>
  <si>
    <t>ENTER STUDENT NAME:</t>
  </si>
  <si>
    <t>STUDENT ID</t>
  </si>
  <si>
    <t>Students aged 20 to 24 represent the largest age group making up 68% of all registrations</t>
  </si>
  <si>
    <t>Some of the courses have 3 to 4 students. Targeted promotion for undersubscribed courses could help balance enrollment</t>
  </si>
  <si>
    <t>Open additional Data Analysis cohorts, increase female outreach programs and target marketing at students aged 20 to 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</si>
</sst>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/d/yyyy;@"/>
    <numFmt numFmtId="165" formatCode="0.0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6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0"/>
      <color theme="2" tint="-0.499984740745262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u/>
      <sz val="18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indexed="64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Protection="1">
      <protection locked="0"/>
    </xf>
    <xf numFmtId="0" fontId="6" fillId="0" borderId="0" xfId="0" applyFont="1" applyProtection="1">
      <protection locked="0"/>
    </xf>
    <xf numFmtId="0" fontId="0" fillId="5" borderId="0" xfId="0" applyFont="1" applyFill="1" applyBorder="1" applyProtection="1">
      <protection locked="0"/>
    </xf>
    <xf numFmtId="0" fontId="0" fillId="0" borderId="0" xfId="0" applyFont="1" applyBorder="1" applyAlignment="1" applyProtection="1">
      <alignment horizontal="left"/>
      <protection locked="0"/>
    </xf>
    <xf numFmtId="0" fontId="0" fillId="7" borderId="1" xfId="0" applyFont="1" applyFill="1" applyBorder="1" applyAlignment="1" applyProtection="1">
      <alignment horizontal="left"/>
      <protection locked="0"/>
    </xf>
    <xf numFmtId="0" fontId="0" fillId="5" borderId="1" xfId="0" applyFont="1" applyFill="1" applyBorder="1" applyAlignment="1" applyProtection="1">
      <alignment horizontal="left"/>
      <protection locked="0"/>
    </xf>
    <xf numFmtId="0" fontId="2" fillId="5" borderId="1" xfId="0" applyFont="1" applyFill="1" applyBorder="1" applyAlignment="1" applyProtection="1">
      <alignment horizontal="left"/>
      <protection locked="0"/>
    </xf>
    <xf numFmtId="0" fontId="0" fillId="0" borderId="0" xfId="0" applyProtection="1"/>
    <xf numFmtId="0" fontId="0" fillId="9" borderId="0" xfId="0" applyFill="1" applyProtection="1">
      <protection locked="0"/>
    </xf>
    <xf numFmtId="0" fontId="0" fillId="9" borderId="0" xfId="0" applyFill="1" applyProtection="1"/>
    <xf numFmtId="0" fontId="9" fillId="14" borderId="7" xfId="0" applyFont="1" applyFill="1" applyBorder="1" applyAlignment="1" applyProtection="1">
      <alignment horizontal="center" vertical="center"/>
    </xf>
    <xf numFmtId="0" fontId="9" fillId="14" borderId="7" xfId="0" applyFont="1" applyFill="1" applyBorder="1" applyAlignment="1" applyProtection="1">
      <alignment horizontal="center" vertical="center" wrapText="1"/>
    </xf>
    <xf numFmtId="0" fontId="10" fillId="14" borderId="8" xfId="0" applyFont="1" applyFill="1" applyBorder="1" applyAlignment="1" applyProtection="1">
      <alignment horizontal="center" vertical="center"/>
    </xf>
    <xf numFmtId="165" fontId="10" fillId="14" borderId="8" xfId="0" applyNumberFormat="1" applyFont="1" applyFill="1" applyBorder="1" applyAlignment="1" applyProtection="1">
      <alignment horizontal="center"/>
    </xf>
    <xf numFmtId="0" fontId="2" fillId="12" borderId="1" xfId="0" applyFont="1" applyFill="1" applyBorder="1" applyProtection="1">
      <protection locked="0"/>
    </xf>
    <xf numFmtId="0" fontId="2" fillId="12" borderId="1" xfId="0" applyFont="1" applyFill="1" applyBorder="1" applyProtection="1"/>
    <xf numFmtId="0" fontId="0" fillId="9" borderId="0" xfId="0" applyFill="1" applyAlignment="1" applyProtection="1">
      <alignment horizontal="center"/>
    </xf>
    <xf numFmtId="14" fontId="0" fillId="13" borderId="1" xfId="0" applyNumberFormat="1" applyFill="1" applyBorder="1" applyProtection="1">
      <protection locked="0"/>
    </xf>
    <xf numFmtId="0" fontId="0" fillId="13" borderId="1" xfId="0" applyFill="1" applyBorder="1" applyProtection="1"/>
    <xf numFmtId="0" fontId="7" fillId="14" borderId="8" xfId="0" applyFont="1" applyFill="1" applyBorder="1" applyAlignment="1" applyProtection="1">
      <alignment horizontal="center" vertical="center" wrapText="1"/>
    </xf>
    <xf numFmtId="0" fontId="4" fillId="2" borderId="1" xfId="0" applyFont="1" applyFill="1" applyBorder="1" applyAlignment="1" applyProtection="1">
      <alignment vertical="center"/>
      <protection locked="0"/>
    </xf>
    <xf numFmtId="0" fontId="0" fillId="0" borderId="1" xfId="0" applyBorder="1" applyAlignment="1" applyProtection="1">
      <alignment horizontal="left" vertical="center"/>
    </xf>
    <xf numFmtId="0" fontId="0" fillId="0" borderId="1" xfId="0" applyBorder="1" applyAlignment="1" applyProtection="1">
      <alignment horizontal="left"/>
      <protection locked="0"/>
    </xf>
    <xf numFmtId="0" fontId="2" fillId="0" borderId="1" xfId="0" applyFont="1" applyBorder="1" applyAlignment="1" applyProtection="1">
      <alignment horizontal="left"/>
    </xf>
    <xf numFmtId="0" fontId="0" fillId="0" borderId="1" xfId="0" applyBorder="1" applyAlignment="1" applyProtection="1">
      <alignment horizontal="left"/>
    </xf>
    <xf numFmtId="0" fontId="4" fillId="2" borderId="4" xfId="0" applyFont="1" applyFill="1" applyBorder="1" applyAlignment="1" applyProtection="1">
      <alignment horizontal="left" vertical="center"/>
      <protection locked="0"/>
    </xf>
    <xf numFmtId="0" fontId="4" fillId="2" borderId="3" xfId="0" applyFont="1" applyFill="1" applyBorder="1" applyAlignment="1" applyProtection="1">
      <alignment horizontal="left" vertical="center"/>
      <protection locked="0"/>
    </xf>
    <xf numFmtId="0" fontId="0" fillId="7" borderId="4" xfId="0" applyFont="1" applyFill="1" applyBorder="1" applyAlignment="1" applyProtection="1">
      <alignment horizontal="left" vertical="center"/>
      <protection locked="0"/>
    </xf>
    <xf numFmtId="0" fontId="0" fillId="5" borderId="4" xfId="0" applyFont="1" applyFill="1" applyBorder="1" applyAlignment="1" applyProtection="1">
      <alignment horizontal="left" vertical="center"/>
      <protection locked="0"/>
    </xf>
    <xf numFmtId="0" fontId="2" fillId="5" borderId="2" xfId="0" applyFont="1" applyFill="1" applyBorder="1" applyAlignment="1" applyProtection="1">
      <alignment horizontal="left" vertical="center"/>
      <protection locked="0"/>
    </xf>
    <xf numFmtId="0" fontId="0" fillId="5" borderId="4" xfId="0" applyFont="1" applyFill="1" applyBorder="1" applyAlignment="1" applyProtection="1">
      <alignment horizontal="left" vertical="center"/>
    </xf>
    <xf numFmtId="0" fontId="0" fillId="6" borderId="4" xfId="0" applyFont="1" applyFill="1" applyBorder="1" applyAlignment="1" applyProtection="1">
      <alignment horizontal="left" vertical="center"/>
    </xf>
    <xf numFmtId="0" fontId="0" fillId="6" borderId="3" xfId="0" applyFont="1" applyFill="1" applyBorder="1" applyAlignment="1" applyProtection="1">
      <alignment horizontal="left" vertical="center"/>
    </xf>
    <xf numFmtId="0" fontId="0" fillId="7" borderId="4" xfId="0" applyFont="1" applyFill="1" applyBorder="1" applyAlignment="1" applyProtection="1">
      <alignment horizontal="left" vertical="center"/>
    </xf>
    <xf numFmtId="0" fontId="0" fillId="7" borderId="3" xfId="0" applyFont="1" applyFill="1" applyBorder="1" applyAlignment="1" applyProtection="1">
      <alignment horizontal="left" vertical="center"/>
    </xf>
    <xf numFmtId="0" fontId="0" fillId="5" borderId="2" xfId="0" applyFont="1" applyFill="1" applyBorder="1" applyAlignment="1" applyProtection="1">
      <alignment horizontal="left" vertical="center"/>
      <protection locked="0"/>
    </xf>
    <xf numFmtId="0" fontId="2" fillId="5" borderId="2" xfId="0" applyFont="1" applyFill="1" applyBorder="1" applyAlignment="1" applyProtection="1">
      <alignment horizontal="left" vertical="center"/>
    </xf>
    <xf numFmtId="0" fontId="2" fillId="7" borderId="1" xfId="0" applyFont="1" applyFill="1" applyBorder="1" applyAlignment="1" applyProtection="1">
      <alignment horizontal="left" vertical="center"/>
    </xf>
    <xf numFmtId="0" fontId="2" fillId="5" borderId="1" xfId="0" applyFont="1" applyFill="1" applyBorder="1" applyAlignment="1" applyProtection="1">
      <alignment horizontal="left" vertical="center"/>
    </xf>
    <xf numFmtId="0" fontId="0" fillId="0" borderId="0" xfId="0" applyBorder="1"/>
    <xf numFmtId="0" fontId="4" fillId="4" borderId="0" xfId="0" applyFont="1" applyFill="1" applyAlignment="1" applyProtection="1">
      <alignment horizontal="left" vertical="center"/>
      <protection locked="0"/>
    </xf>
    <xf numFmtId="0" fontId="0" fillId="0" borderId="1" xfId="0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horizontal="left" vertical="center"/>
      <protection locked="0"/>
    </xf>
    <xf numFmtId="0" fontId="0" fillId="0" borderId="0" xfId="0" applyBorder="1" applyProtection="1">
      <protection locked="0"/>
    </xf>
    <xf numFmtId="0" fontId="2" fillId="0" borderId="0" xfId="0" applyFont="1" applyBorder="1" applyProtection="1">
      <protection locked="0"/>
    </xf>
    <xf numFmtId="165" fontId="2" fillId="0" borderId="0" xfId="0" applyNumberFormat="1" applyFont="1" applyBorder="1" applyProtection="1">
      <protection locked="0"/>
    </xf>
    <xf numFmtId="0" fontId="2" fillId="10" borderId="9" xfId="0" applyFont="1" applyFill="1" applyBorder="1" applyAlignment="1" applyProtection="1">
      <alignment horizontal="left" vertical="center"/>
      <protection locked="0"/>
    </xf>
    <xf numFmtId="165" fontId="0" fillId="0" borderId="1" xfId="0" applyNumberFormat="1" applyBorder="1" applyAlignment="1" applyProtection="1">
      <alignment horizontal="left" vertical="center"/>
    </xf>
    <xf numFmtId="0" fontId="2" fillId="0" borderId="1" xfId="0" applyFont="1" applyBorder="1" applyAlignment="1" applyProtection="1">
      <alignment horizontal="left" vertical="center"/>
    </xf>
    <xf numFmtId="165" fontId="2" fillId="0" borderId="1" xfId="0" applyNumberFormat="1" applyFont="1" applyBorder="1" applyAlignment="1" applyProtection="1">
      <alignment horizontal="left" vertical="center"/>
    </xf>
    <xf numFmtId="165" fontId="1" fillId="10" borderId="10" xfId="0" applyNumberFormat="1" applyFont="1" applyFill="1" applyBorder="1" applyAlignment="1" applyProtection="1">
      <alignment horizontal="left" vertical="center"/>
    </xf>
    <xf numFmtId="165" fontId="0" fillId="0" borderId="1" xfId="0" applyNumberFormat="1" applyBorder="1" applyAlignment="1" applyProtection="1">
      <alignment horizontal="left"/>
    </xf>
    <xf numFmtId="0" fontId="4" fillId="2" borderId="4" xfId="0" applyFont="1" applyFill="1" applyBorder="1" applyAlignment="1" applyProtection="1">
      <alignment horizontal="left" vertical="center"/>
    </xf>
    <xf numFmtId="164" fontId="4" fillId="2" borderId="3" xfId="0" applyNumberFormat="1" applyFont="1" applyFill="1" applyBorder="1" applyAlignment="1" applyProtection="1">
      <alignment horizontal="left" vertical="center"/>
    </xf>
    <xf numFmtId="0" fontId="0" fillId="3" borderId="4" xfId="0" applyFont="1" applyFill="1" applyBorder="1" applyAlignment="1" applyProtection="1">
      <alignment horizontal="left"/>
    </xf>
    <xf numFmtId="164" fontId="0" fillId="3" borderId="3" xfId="0" applyNumberFormat="1" applyFont="1" applyFill="1" applyBorder="1" applyAlignment="1" applyProtection="1">
      <alignment horizontal="left"/>
    </xf>
    <xf numFmtId="0" fontId="0" fillId="5" borderId="4" xfId="0" applyFont="1" applyFill="1" applyBorder="1" applyAlignment="1" applyProtection="1">
      <alignment horizontal="left"/>
    </xf>
    <xf numFmtId="164" fontId="0" fillId="0" borderId="3" xfId="0" applyNumberFormat="1" applyFont="1" applyBorder="1" applyAlignment="1" applyProtection="1">
      <alignment horizontal="left"/>
    </xf>
    <xf numFmtId="0" fontId="0" fillId="5" borderId="1" xfId="0" applyFont="1" applyFill="1" applyBorder="1" applyAlignment="1" applyProtection="1">
      <alignment horizontal="left"/>
    </xf>
    <xf numFmtId="164" fontId="0" fillId="0" borderId="1" xfId="0" applyNumberFormat="1" applyFont="1" applyBorder="1" applyAlignment="1" applyProtection="1">
      <alignment horizontal="left"/>
    </xf>
    <xf numFmtId="164" fontId="0" fillId="0" borderId="0" xfId="0" applyNumberFormat="1" applyProtection="1"/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7" borderId="0" xfId="0" applyFill="1" applyBorder="1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0" fillId="0" borderId="0" xfId="0" applyFont="1"/>
    <xf numFmtId="0" fontId="0" fillId="0" borderId="0" xfId="0" applyFont="1" applyAlignment="1">
      <alignment horizontal="left"/>
    </xf>
    <xf numFmtId="0" fontId="0" fillId="0" borderId="0" xfId="0" applyAlignment="1">
      <alignment horizontal="left" vertical="center"/>
    </xf>
    <xf numFmtId="1" fontId="4" fillId="2" borderId="4" xfId="0" applyNumberFormat="1" applyFont="1" applyFill="1" applyBorder="1" applyAlignment="1" applyProtection="1">
      <alignment horizontal="left" vertical="center"/>
    </xf>
    <xf numFmtId="1" fontId="0" fillId="3" borderId="4" xfId="0" applyNumberFormat="1" applyFont="1" applyFill="1" applyBorder="1" applyAlignment="1" applyProtection="1">
      <alignment horizontal="left"/>
    </xf>
    <xf numFmtId="1" fontId="0" fillId="0" borderId="4" xfId="0" applyNumberFormat="1" applyFont="1" applyBorder="1" applyAlignment="1" applyProtection="1">
      <alignment horizontal="left"/>
    </xf>
    <xf numFmtId="1" fontId="0" fillId="0" borderId="2" xfId="0" applyNumberFormat="1" applyFont="1" applyBorder="1" applyAlignment="1" applyProtection="1">
      <alignment horizontal="left"/>
    </xf>
    <xf numFmtId="1" fontId="0" fillId="0" borderId="0" xfId="0" applyNumberFormat="1" applyProtection="1"/>
    <xf numFmtId="49" fontId="4" fillId="2" borderId="4" xfId="0" applyNumberFormat="1" applyFont="1" applyFill="1" applyBorder="1" applyAlignment="1" applyProtection="1">
      <alignment horizontal="left" vertical="center"/>
    </xf>
    <xf numFmtId="49" fontId="0" fillId="3" borderId="4" xfId="0" applyNumberFormat="1" applyFont="1" applyFill="1" applyBorder="1" applyAlignment="1" applyProtection="1">
      <alignment horizontal="left"/>
    </xf>
    <xf numFmtId="49" fontId="0" fillId="0" borderId="4" xfId="0" applyNumberFormat="1" applyFont="1" applyBorder="1" applyAlignment="1" applyProtection="1">
      <alignment horizontal="left"/>
    </xf>
    <xf numFmtId="49" fontId="0" fillId="0" borderId="2" xfId="0" applyNumberFormat="1" applyFont="1" applyBorder="1" applyAlignment="1" applyProtection="1">
      <alignment horizontal="left"/>
    </xf>
    <xf numFmtId="49" fontId="0" fillId="0" borderId="0" xfId="0" applyNumberFormat="1" applyProtection="1"/>
    <xf numFmtId="0" fontId="0" fillId="0" borderId="0" xfId="0" applyAlignment="1" applyProtection="1">
      <alignment horizontal="left" vertical="center" wrapText="1"/>
    </xf>
    <xf numFmtId="1" fontId="0" fillId="3" borderId="4" xfId="0" applyNumberFormat="1" applyFont="1" applyFill="1" applyBorder="1" applyAlignment="1" applyProtection="1">
      <alignment horizontal="left"/>
      <protection locked="0"/>
    </xf>
    <xf numFmtId="1" fontId="0" fillId="0" borderId="4" xfId="0" applyNumberFormat="1" applyFont="1" applyBorder="1" applyAlignment="1" applyProtection="1">
      <alignment horizontal="left"/>
      <protection locked="0"/>
    </xf>
    <xf numFmtId="1" fontId="0" fillId="0" borderId="2" xfId="0" applyNumberFormat="1" applyFont="1" applyBorder="1" applyAlignment="1" applyProtection="1">
      <alignment horizontal="left"/>
      <protection locked="0"/>
    </xf>
    <xf numFmtId="0" fontId="0" fillId="11" borderId="6" xfId="0" applyFill="1" applyBorder="1" applyAlignment="1" applyProtection="1">
      <alignment horizontal="left"/>
      <protection locked="0"/>
    </xf>
    <xf numFmtId="0" fontId="0" fillId="11" borderId="6" xfId="0" applyFill="1" applyBorder="1" applyAlignment="1" applyProtection="1">
      <alignment horizontal="left" vertical="center"/>
      <protection locked="0"/>
    </xf>
    <xf numFmtId="0" fontId="8" fillId="4" borderId="5" xfId="0" applyFont="1" applyFill="1" applyBorder="1" applyAlignment="1" applyProtection="1">
      <alignment horizontal="center" vertical="center"/>
    </xf>
    <xf numFmtId="0" fontId="5" fillId="4" borderId="5" xfId="0" applyFont="1" applyFill="1" applyBorder="1" applyAlignment="1" applyProtection="1">
      <alignment horizontal="center" vertical="center"/>
    </xf>
    <xf numFmtId="0" fontId="8" fillId="4" borderId="5" xfId="0" applyFont="1" applyFill="1" applyBorder="1" applyAlignment="1" applyProtection="1">
      <alignment horizontal="center" vertical="center"/>
      <protection locked="0"/>
    </xf>
    <xf numFmtId="0" fontId="8" fillId="4" borderId="0" xfId="0" applyFont="1" applyFill="1" applyAlignment="1" applyProtection="1">
      <alignment horizontal="center" vertical="center"/>
      <protection locked="0"/>
    </xf>
    <xf numFmtId="0" fontId="5" fillId="4" borderId="0" xfId="0" applyFont="1" applyFill="1" applyAlignment="1" applyProtection="1">
      <alignment horizontal="center" vertical="center"/>
      <protection locked="0"/>
    </xf>
    <xf numFmtId="0" fontId="7" fillId="0" borderId="0" xfId="0" applyFont="1" applyAlignment="1">
      <alignment horizontal="center" vertical="center"/>
    </xf>
    <xf numFmtId="0" fontId="11" fillId="8" borderId="0" xfId="0" applyFont="1" applyFill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left" vertical="center"/>
    </xf>
    <xf numFmtId="0" fontId="0" fillId="0" borderId="0" xfId="0" applyAlignment="1" applyProtection="1">
      <alignment horizontal="left" vertical="center" wrapText="1"/>
    </xf>
    <xf numFmtId="0" fontId="0" fillId="0" borderId="0" xfId="0" applyFont="1" applyAlignment="1" applyProtection="1">
      <alignment horizontal="left" vertical="center" wrapText="1"/>
    </xf>
    <xf numFmtId="0" fontId="12" fillId="0" borderId="0" xfId="0" applyFont="1" applyAlignment="1" applyProtection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STUDENT</a:t>
            </a:r>
            <a:r>
              <a:rPr lang="en-US" sz="1600" b="1" baseline="0"/>
              <a:t> REGISTRATIONS BY COURSE</a:t>
            </a:r>
            <a:endParaRPr lang="en-US" sz="1600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008098187014879"/>
          <c:y val="0.11639639639639641"/>
          <c:w val="0.86382174648097809"/>
          <c:h val="0.5406052867470190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'COURSE COUNT ANALYSIS'!$C$2</c:f>
              <c:strCache>
                <c:ptCount val="1"/>
                <c:pt idx="0">
                  <c:v>COURSE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'COURSE COUNT ANALYSIS'!$B$3:$B$10</c:f>
              <c:strCache>
                <c:ptCount val="8"/>
                <c:pt idx="0">
                  <c:v>DATA ANALYSIS</c:v>
                </c:pt>
                <c:pt idx="1">
                  <c:v>FRONT END DEVELOPER</c:v>
                </c:pt>
                <c:pt idx="2">
                  <c:v>VIDEO EDITOR</c:v>
                </c:pt>
                <c:pt idx="3">
                  <c:v>BACK END DEVELOPER</c:v>
                </c:pt>
                <c:pt idx="4">
                  <c:v>DIGITAL MARKETING</c:v>
                </c:pt>
                <c:pt idx="5">
                  <c:v>WEB DEVELOPMENT</c:v>
                </c:pt>
                <c:pt idx="6">
                  <c:v>VIRTUAL ASSISTANT</c:v>
                </c:pt>
                <c:pt idx="7">
                  <c:v>UI/UX DESIGN</c:v>
                </c:pt>
              </c:strCache>
            </c:strRef>
          </c:cat>
          <c:val>
            <c:numRef>
              <c:f>'COURSE COUNT ANALYSIS'!$C$3:$C$10</c:f>
              <c:numCache>
                <c:formatCode>General</c:formatCode>
                <c:ptCount val="8"/>
                <c:pt idx="0">
                  <c:v>11</c:v>
                </c:pt>
                <c:pt idx="1">
                  <c:v>5</c:v>
                </c:pt>
                <c:pt idx="2">
                  <c:v>5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3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42719624"/>
        <c:axId val="342720008"/>
      </c:barChart>
      <c:catAx>
        <c:axId val="3427196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COURSES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2720008"/>
        <c:crosses val="autoZero"/>
        <c:auto val="1"/>
        <c:lblAlgn val="ctr"/>
        <c:lblOffset val="100"/>
        <c:noMultiLvlLbl val="0"/>
      </c:catAx>
      <c:valAx>
        <c:axId val="34272000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/>
                  <a:t>NUMBER</a:t>
                </a:r>
                <a:r>
                  <a:rPr lang="en-US" sz="1100" b="1" baseline="0"/>
                  <a:t> OF STUDENTS</a:t>
                </a:r>
                <a:endParaRPr lang="en-US" sz="1100"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2719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600" b="1" i="0" baseline="0">
                <a:effectLst/>
              </a:rPr>
              <a:t>Gender Distribution</a:t>
            </a:r>
            <a:endParaRPr lang="en-GB" sz="12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'GENDER ANALYSIS'!$C$2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'GENDER ANALYSIS'!$B$3:$B$10</c:f>
              <c:strCache>
                <c:ptCount val="8"/>
                <c:pt idx="0">
                  <c:v>DATA ANALYSIS</c:v>
                </c:pt>
                <c:pt idx="1">
                  <c:v>FRONT END DEVELOPER</c:v>
                </c:pt>
                <c:pt idx="2">
                  <c:v>VIDEO EDITOR</c:v>
                </c:pt>
                <c:pt idx="3">
                  <c:v>BACK END DEVELOPER</c:v>
                </c:pt>
                <c:pt idx="4">
                  <c:v>DIGITAL MARKETING</c:v>
                </c:pt>
                <c:pt idx="5">
                  <c:v>WEB DEVELOPMENT</c:v>
                </c:pt>
                <c:pt idx="6">
                  <c:v>VIRTUAL ASSISTANT</c:v>
                </c:pt>
                <c:pt idx="7">
                  <c:v>UI/UX DESIGN</c:v>
                </c:pt>
              </c:strCache>
            </c:strRef>
          </c:cat>
          <c:val>
            <c:numRef>
              <c:f>'GENDER ANALYSIS'!$C$3:$C$10</c:f>
              <c:numCache>
                <c:formatCode>General</c:formatCode>
                <c:ptCount val="8"/>
                <c:pt idx="0">
                  <c:v>8</c:v>
                </c:pt>
                <c:pt idx="1">
                  <c:v>3</c:v>
                </c:pt>
                <c:pt idx="2">
                  <c:v>1</c:v>
                </c:pt>
                <c:pt idx="3">
                  <c:v>3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3</c:v>
                </c:pt>
              </c:numCache>
            </c:numRef>
          </c:val>
        </c:ser>
        <c:ser>
          <c:idx val="1"/>
          <c:order val="1"/>
          <c:tx>
            <c:strRef>
              <c:f>'GENDER ANALYSIS'!$D$2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'GENDER ANALYSIS'!$B$3:$B$10</c:f>
              <c:strCache>
                <c:ptCount val="8"/>
                <c:pt idx="0">
                  <c:v>DATA ANALYSIS</c:v>
                </c:pt>
                <c:pt idx="1">
                  <c:v>FRONT END DEVELOPER</c:v>
                </c:pt>
                <c:pt idx="2">
                  <c:v>VIDEO EDITOR</c:v>
                </c:pt>
                <c:pt idx="3">
                  <c:v>BACK END DEVELOPER</c:v>
                </c:pt>
                <c:pt idx="4">
                  <c:v>DIGITAL MARKETING</c:v>
                </c:pt>
                <c:pt idx="5">
                  <c:v>WEB DEVELOPMENT</c:v>
                </c:pt>
                <c:pt idx="6">
                  <c:v>VIRTUAL ASSISTANT</c:v>
                </c:pt>
                <c:pt idx="7">
                  <c:v>UI/UX DESIGN</c:v>
                </c:pt>
              </c:strCache>
            </c:strRef>
          </c:cat>
          <c:val>
            <c:numRef>
              <c:f>'GENDER ANALYSIS'!$D$3:$D$10</c:f>
              <c:numCache>
                <c:formatCode>General</c:formatCode>
                <c:ptCount val="8"/>
                <c:pt idx="0">
                  <c:v>3</c:v>
                </c:pt>
                <c:pt idx="1">
                  <c:v>2</c:v>
                </c:pt>
                <c:pt idx="2">
                  <c:v>4</c:v>
                </c:pt>
                <c:pt idx="3">
                  <c:v>1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41988368"/>
        <c:axId val="341988752"/>
      </c:barChart>
      <c:catAx>
        <c:axId val="34198836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 i="0" baseline="0">
                    <a:effectLst/>
                  </a:rPr>
                  <a:t>Courses</a:t>
                </a:r>
                <a:endParaRPr lang="en-GB">
                  <a:effectLst/>
                </a:endParaRPr>
              </a:p>
            </c:rich>
          </c:tx>
          <c:layout>
            <c:manualLayout>
              <c:xMode val="edge"/>
              <c:yMode val="edge"/>
              <c:x val="1.6666666666666666E-2"/>
              <c:y val="0.3953973461650627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1988752"/>
        <c:crosses val="autoZero"/>
        <c:auto val="1"/>
        <c:lblAlgn val="ctr"/>
        <c:lblOffset val="100"/>
        <c:noMultiLvlLbl val="0"/>
      </c:catAx>
      <c:valAx>
        <c:axId val="341988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 b="1" i="0" baseline="0">
                    <a:effectLst/>
                  </a:rPr>
                  <a:t>Number of Students</a:t>
                </a:r>
                <a:endParaRPr lang="en-GB" sz="700">
                  <a:effectLst/>
                </a:endParaRPr>
              </a:p>
            </c:rich>
          </c:tx>
          <c:layout>
            <c:manualLayout>
              <c:xMode val="edge"/>
              <c:yMode val="edge"/>
              <c:x val="0.38701227641503672"/>
              <c:y val="0.9014665663697609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1988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3749518810148726"/>
          <c:y val="0.16847149314668997"/>
          <c:w val="0.14028258967629048"/>
          <c:h val="0.1793992417614464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600" b="1"/>
              <a:t>Student</a:t>
            </a:r>
            <a:r>
              <a:rPr lang="en-GB" sz="1600" b="1" baseline="0"/>
              <a:t> Count By Age</a:t>
            </a:r>
            <a:endParaRPr lang="en-GB" sz="1600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'AGE ANALYSIS'!$B$3:$B$11</c:f>
              <c:numCache>
                <c:formatCode>General</c:formatCode>
                <c:ptCount val="9"/>
                <c:pt idx="0">
                  <c:v>20</c:v>
                </c:pt>
                <c:pt idx="1">
                  <c:v>21</c:v>
                </c:pt>
                <c:pt idx="2">
                  <c:v>22</c:v>
                </c:pt>
                <c:pt idx="3">
                  <c:v>23</c:v>
                </c:pt>
                <c:pt idx="4">
                  <c:v>24</c:v>
                </c:pt>
                <c:pt idx="5">
                  <c:v>25</c:v>
                </c:pt>
                <c:pt idx="6">
                  <c:v>26</c:v>
                </c:pt>
                <c:pt idx="7">
                  <c:v>27</c:v>
                </c:pt>
                <c:pt idx="8">
                  <c:v>28</c:v>
                </c:pt>
              </c:numCache>
            </c:numRef>
          </c:cat>
          <c:val>
            <c:numRef>
              <c:f>'AGE ANALYSIS'!$C$3:$C$11</c:f>
              <c:numCache>
                <c:formatCode>General</c:formatCode>
                <c:ptCount val="9"/>
                <c:pt idx="0">
                  <c:v>6</c:v>
                </c:pt>
                <c:pt idx="1">
                  <c:v>5</c:v>
                </c:pt>
                <c:pt idx="2">
                  <c:v>5</c:v>
                </c:pt>
                <c:pt idx="3">
                  <c:v>6</c:v>
                </c:pt>
                <c:pt idx="4">
                  <c:v>5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1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42058024"/>
        <c:axId val="169764304"/>
      </c:barChart>
      <c:catAx>
        <c:axId val="3420580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Age</a:t>
                </a:r>
                <a:endParaRPr lang="en-GB" b="1"/>
              </a:p>
            </c:rich>
          </c:tx>
          <c:layout>
            <c:manualLayout>
              <c:xMode val="edge"/>
              <c:yMode val="edge"/>
              <c:x val="0.48431017921178893"/>
              <c:y val="0.8936922313118682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764304"/>
        <c:crosses val="autoZero"/>
        <c:auto val="1"/>
        <c:lblAlgn val="ctr"/>
        <c:lblOffset val="100"/>
        <c:noMultiLvlLbl val="0"/>
      </c:catAx>
      <c:valAx>
        <c:axId val="169764304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Number</a:t>
                </a:r>
                <a:r>
                  <a:rPr lang="en-GB" sz="1100" b="1" baseline="0"/>
                  <a:t> of Students</a:t>
                </a:r>
                <a:endParaRPr lang="en-GB" sz="1100" b="1"/>
              </a:p>
            </c:rich>
          </c:tx>
          <c:layout>
            <c:manualLayout>
              <c:xMode val="edge"/>
              <c:yMode val="edge"/>
              <c:x val="1.2300120618663138E-2"/>
              <c:y val="0.2453182835836368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2058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Age</a:t>
            </a:r>
            <a:r>
              <a:rPr lang="en-GB" b="1" baseline="0"/>
              <a:t> Group Distribution</a:t>
            </a:r>
            <a:endParaRPr lang="en-GB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1"/>
              <c:layout/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'AGE ANALYSIS'!$B$17:$B$19</c:f>
              <c:strCache>
                <c:ptCount val="3"/>
                <c:pt idx="0">
                  <c:v>20-22</c:v>
                </c:pt>
                <c:pt idx="1">
                  <c:v>23-25</c:v>
                </c:pt>
                <c:pt idx="2">
                  <c:v>26-28</c:v>
                </c:pt>
              </c:strCache>
            </c:strRef>
          </c:cat>
          <c:val>
            <c:numRef>
              <c:f>'AGE ANALYSIS'!$C$17:$C$19</c:f>
              <c:numCache>
                <c:formatCode>General</c:formatCode>
                <c:ptCount val="3"/>
                <c:pt idx="0">
                  <c:v>16</c:v>
                </c:pt>
                <c:pt idx="1">
                  <c:v>15</c:v>
                </c:pt>
                <c:pt idx="2">
                  <c:v>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GB" sz="1600" b="1" i="0" baseline="0">
                <a:effectLst/>
              </a:rPr>
              <a:t>Daily Registration Trend — May 2026</a:t>
            </a:r>
            <a:endParaRPr lang="en-GB" sz="16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DASHBOARD!$C$7</c:f>
              <c:strCache>
                <c:ptCount val="1"/>
                <c:pt idx="0">
                  <c:v>COUNT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DASHBOARD!$B$8:$B$16</c:f>
              <c:numCache>
                <c:formatCode>m/d/yyyy</c:formatCode>
                <c:ptCount val="9"/>
                <c:pt idx="0">
                  <c:v>46027</c:v>
                </c:pt>
                <c:pt idx="1">
                  <c:v>46058</c:v>
                </c:pt>
                <c:pt idx="2">
                  <c:v>46086</c:v>
                </c:pt>
                <c:pt idx="3">
                  <c:v>46117</c:v>
                </c:pt>
                <c:pt idx="4">
                  <c:v>46147</c:v>
                </c:pt>
                <c:pt idx="5">
                  <c:v>46178</c:v>
                </c:pt>
                <c:pt idx="6">
                  <c:v>46208</c:v>
                </c:pt>
                <c:pt idx="7">
                  <c:v>46239</c:v>
                </c:pt>
                <c:pt idx="8">
                  <c:v>46270</c:v>
                </c:pt>
              </c:numCache>
            </c:numRef>
          </c:cat>
          <c:val>
            <c:numRef>
              <c:f>DASHBOARD!$C$8:$C$16</c:f>
              <c:numCache>
                <c:formatCode>General</c:formatCode>
                <c:ptCount val="9"/>
                <c:pt idx="0">
                  <c:v>3</c:v>
                </c:pt>
                <c:pt idx="1">
                  <c:v>4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2</c:v>
                </c:pt>
                <c:pt idx="6">
                  <c:v>4</c:v>
                </c:pt>
                <c:pt idx="7">
                  <c:v>3</c:v>
                </c:pt>
                <c:pt idx="8">
                  <c:v>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5843920"/>
        <c:axId val="135843136"/>
      </c:lineChart>
      <c:dateAx>
        <c:axId val="1358439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Date</a:t>
                </a:r>
                <a:endParaRPr lang="en-GB" b="1"/>
              </a:p>
            </c:rich>
          </c:tx>
          <c:layout>
            <c:manualLayout>
              <c:xMode val="edge"/>
              <c:yMode val="edge"/>
              <c:x val="0.42377646544181974"/>
              <c:y val="0.8776388888888888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843136"/>
        <c:crosses val="autoZero"/>
        <c:auto val="1"/>
        <c:lblOffset val="100"/>
        <c:baseTimeUnit val="months"/>
      </c:dateAx>
      <c:valAx>
        <c:axId val="135843136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Number</a:t>
                </a:r>
                <a:r>
                  <a:rPr lang="en-GB" sz="1100" b="1" baseline="0"/>
                  <a:t> of Students</a:t>
                </a:r>
                <a:endParaRPr lang="en-GB" sz="1100" b="1"/>
              </a:p>
            </c:rich>
          </c:tx>
          <c:layout>
            <c:manualLayout>
              <c:xMode val="edge"/>
              <c:yMode val="edge"/>
              <c:x val="1.3888888888888888E-2"/>
              <c:y val="0.2124726596675415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843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2"/>
    </a:solidFill>
    <a:ln w="12700" cap="flat" cmpd="sng" algn="ctr">
      <a:solidFill>
        <a:schemeClr val="bg2">
          <a:lumMod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266700</xdr:colOff>
      <xdr:row>0</xdr:row>
      <xdr:rowOff>180975</xdr:rowOff>
    </xdr:from>
    <xdr:to>
      <xdr:col>14</xdr:col>
      <xdr:colOff>447675</xdr:colOff>
      <xdr:row>20</xdr:row>
      <xdr:rowOff>152400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761998</xdr:colOff>
      <xdr:row>0</xdr:row>
      <xdr:rowOff>109534</xdr:rowOff>
    </xdr:from>
    <xdr:to>
      <xdr:col>15</xdr:col>
      <xdr:colOff>457200</xdr:colOff>
      <xdr:row>19</xdr:row>
      <xdr:rowOff>19049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476248</xdr:colOff>
      <xdr:row>0</xdr:row>
      <xdr:rowOff>109538</xdr:rowOff>
    </xdr:from>
    <xdr:to>
      <xdr:col>15</xdr:col>
      <xdr:colOff>238125</xdr:colOff>
      <xdr:row>13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485774</xdr:colOff>
      <xdr:row>14</xdr:row>
      <xdr:rowOff>9525</xdr:rowOff>
    </xdr:from>
    <xdr:to>
      <xdr:col>12</xdr:col>
      <xdr:colOff>600075</xdr:colOff>
      <xdr:row>25</xdr:row>
      <xdr:rowOff>176212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681037</xdr:colOff>
      <xdr:row>5</xdr:row>
      <xdr:rowOff>100011</xdr:rowOff>
    </xdr:from>
    <xdr:to>
      <xdr:col>10</xdr:col>
      <xdr:colOff>0</xdr:colOff>
      <xdr:row>18</xdr:row>
      <xdr:rowOff>85725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6151.928888773145" createdVersion="5" refreshedVersion="5" minRefreshableVersion="3" recordCount="40">
  <cacheSource type="worksheet">
    <worksheetSource ref="A2:G42" sheet="REGISTRATION REPORT"/>
  </cacheSource>
  <cacheFields count="6">
    <cacheField name="ID" numFmtId="0">
      <sharedItems containsSemiMixedTypes="0" containsString="0" containsNumber="1" containsInteger="1" minValue="1" maxValue="40"/>
    </cacheField>
    <cacheField name="NAME" numFmtId="0">
      <sharedItems/>
    </cacheField>
    <cacheField name="COURSE" numFmtId="0">
      <sharedItems count="8">
        <s v="DATA ANALYSIS"/>
        <s v="WEB DEVELOPMENT"/>
        <s v="DIGITAL MARKETING"/>
        <s v="FRONT END DEVELOPER"/>
        <s v="BACK END DEVELOPER"/>
        <s v="UI/UX DESIGN"/>
        <s v="VIDEO EDITOR"/>
        <s v="VIRTUAL ASSISTANT"/>
      </sharedItems>
    </cacheField>
    <cacheField name="GENDER" numFmtId="0">
      <sharedItems count="2">
        <s v="MALE"/>
        <s v="FEMALE"/>
      </sharedItems>
    </cacheField>
    <cacheField name="AGE" numFmtId="0">
      <sharedItems containsSemiMixedTypes="0" containsString="0" containsNumber="1" containsInteger="1" minValue="20" maxValue="28"/>
    </cacheField>
    <cacheField name="DATE" numFmtId="164">
      <sharedItems containsSemiMixedTypes="0" containsNonDate="0" containsDate="1" containsString="0" minDate="2026-01-05T00:00:00" maxDate="2026-09-06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0">
  <r>
    <n v="1"/>
    <s v="CHIDI OBI"/>
    <x v="0"/>
    <x v="0"/>
    <n v="20"/>
    <d v="2026-01-05T00:00:00"/>
  </r>
  <r>
    <n v="2"/>
    <s v="AMAKE OKAFOR"/>
    <x v="1"/>
    <x v="1"/>
    <n v="21"/>
    <d v="2026-03-05T00:00:00"/>
  </r>
  <r>
    <n v="3"/>
    <s v="SEUN AJIBOLA"/>
    <x v="2"/>
    <x v="0"/>
    <n v="24"/>
    <d v="2026-09-05T00:00:00"/>
  </r>
  <r>
    <n v="4"/>
    <s v="NANA HAWA"/>
    <x v="0"/>
    <x v="1"/>
    <n v="25"/>
    <d v="2026-04-05T00:00:00"/>
  </r>
  <r>
    <n v="5"/>
    <s v="MIKE OPARA"/>
    <x v="3"/>
    <x v="0"/>
    <n v="23"/>
    <d v="2026-03-05T00:00:00"/>
  </r>
  <r>
    <n v="6"/>
    <s v="OKE PAUL"/>
    <x v="4"/>
    <x v="0"/>
    <n v="20"/>
    <d v="2026-04-05T00:00:00"/>
  </r>
  <r>
    <n v="7"/>
    <s v="JOHN PAUL"/>
    <x v="5"/>
    <x v="0"/>
    <n v="22"/>
    <d v="2026-05-05T00:00:00"/>
  </r>
  <r>
    <n v="8"/>
    <s v="DORCAS OJO"/>
    <x v="6"/>
    <x v="1"/>
    <n v="26"/>
    <d v="2026-05-05T00:00:00"/>
  </r>
  <r>
    <n v="9"/>
    <s v="CHIOMA IGWE"/>
    <x v="0"/>
    <x v="1"/>
    <n v="27"/>
    <d v="2026-02-05T00:00:00"/>
  </r>
  <r>
    <n v="10"/>
    <s v="BOLA BELLO"/>
    <x v="3"/>
    <x v="1"/>
    <n v="23"/>
    <d v="2026-08-05T00:00:00"/>
  </r>
  <r>
    <n v="11"/>
    <s v="SAMUEL SMITH"/>
    <x v="5"/>
    <x v="0"/>
    <n v="21"/>
    <d v="2026-07-05T00:00:00"/>
  </r>
  <r>
    <n v="12"/>
    <s v="JERRY KUDABO"/>
    <x v="0"/>
    <x v="0"/>
    <n v="22"/>
    <d v="2026-07-05T00:00:00"/>
  </r>
  <r>
    <n v="13"/>
    <s v="ISREAL ADEBAYO"/>
    <x v="2"/>
    <x v="0"/>
    <n v="25"/>
    <d v="2026-06-05T00:00:00"/>
  </r>
  <r>
    <n v="14"/>
    <s v="JOSHUA OYE"/>
    <x v="7"/>
    <x v="0"/>
    <n v="24"/>
    <d v="2026-05-05T00:00:00"/>
  </r>
  <r>
    <n v="15"/>
    <s v="DANIEL SEGUN"/>
    <x v="0"/>
    <x v="0"/>
    <n v="20"/>
    <d v="2026-03-05T00:00:00"/>
  </r>
  <r>
    <n v="16"/>
    <s v="JAMES OLA"/>
    <x v="5"/>
    <x v="0"/>
    <n v="23"/>
    <d v="2026-01-05T00:00:00"/>
  </r>
  <r>
    <n v="17"/>
    <s v="KUNLE THOMAS"/>
    <x v="7"/>
    <x v="0"/>
    <n v="27"/>
    <d v="2026-05-05T00:00:00"/>
  </r>
  <r>
    <n v="18"/>
    <s v="AISHA TAOFEQ"/>
    <x v="6"/>
    <x v="1"/>
    <n v="27"/>
    <d v="2026-04-05T00:00:00"/>
  </r>
  <r>
    <n v="19"/>
    <s v="ABU SAMBO"/>
    <x v="3"/>
    <x v="0"/>
    <n v="23"/>
    <d v="2026-05-05T00:00:00"/>
  </r>
  <r>
    <n v="20"/>
    <s v="DIKO MALLAM"/>
    <x v="1"/>
    <x v="0"/>
    <n v="25"/>
    <d v="2026-02-05T00:00:00"/>
  </r>
  <r>
    <n v="21"/>
    <s v="UGO WILLIAM"/>
    <x v="0"/>
    <x v="0"/>
    <n v="22"/>
    <d v="2026-02-05T00:00:00"/>
  </r>
  <r>
    <n v="22"/>
    <s v="CHIDOBI JAMES"/>
    <x v="4"/>
    <x v="0"/>
    <n v="24"/>
    <d v="2026-03-05T00:00:00"/>
  </r>
  <r>
    <n v="23"/>
    <s v="GRACE ADE"/>
    <x v="4"/>
    <x v="1"/>
    <n v="26"/>
    <d v="2026-04-05T00:00:00"/>
  </r>
  <r>
    <n v="24"/>
    <s v="JOHN PHILIPS"/>
    <x v="0"/>
    <x v="0"/>
    <n v="21"/>
    <d v="2026-09-05T00:00:00"/>
  </r>
  <r>
    <n v="25"/>
    <s v="BIDEMI FEMI"/>
    <x v="2"/>
    <x v="1"/>
    <n v="20"/>
    <d v="2026-08-05T00:00:00"/>
  </r>
  <r>
    <n v="26"/>
    <s v="SAM OYE"/>
    <x v="6"/>
    <x v="0"/>
    <n v="28"/>
    <d v="2026-07-05T00:00:00"/>
  </r>
  <r>
    <n v="27"/>
    <s v="OLA AINA"/>
    <x v="1"/>
    <x v="1"/>
    <n v="24"/>
    <d v="2026-05-05T00:00:00"/>
  </r>
  <r>
    <n v="28"/>
    <s v="LEKAN BADMUS"/>
    <x v="0"/>
    <x v="0"/>
    <n v="22"/>
    <d v="2026-03-05T00:00:00"/>
  </r>
  <r>
    <n v="29"/>
    <s v="JIDE KOSOKO"/>
    <x v="3"/>
    <x v="0"/>
    <n v="23"/>
    <d v="2026-05-05T00:00:00"/>
  </r>
  <r>
    <n v="30"/>
    <s v="PETER OKOYE"/>
    <x v="0"/>
    <x v="0"/>
    <n v="26"/>
    <d v="2026-04-05T00:00:00"/>
  </r>
  <r>
    <n v="31"/>
    <s v="DAPO DADA"/>
    <x v="2"/>
    <x v="1"/>
    <n v="20"/>
    <d v="2026-07-05T00:00:00"/>
  </r>
  <r>
    <n v="32"/>
    <s v="FAITH DAIKWO"/>
    <x v="0"/>
    <x v="1"/>
    <n v="21"/>
    <d v="2026-04-05T00:00:00"/>
  </r>
  <r>
    <n v="33"/>
    <s v="ANIBE GIFT"/>
    <x v="6"/>
    <x v="1"/>
    <n v="22"/>
    <d v="2026-05-05T00:00:00"/>
  </r>
  <r>
    <n v="34"/>
    <s v="MONICA NICO"/>
    <x v="7"/>
    <x v="1"/>
    <n v="23"/>
    <d v="2026-01-05T00:00:00"/>
  </r>
  <r>
    <n v="35"/>
    <s v="EMMANUEL EZE"/>
    <x v="1"/>
    <x v="0"/>
    <n v="24"/>
    <d v="2026-03-05T00:00:00"/>
  </r>
  <r>
    <n v="36"/>
    <s v="BUKAYO SAKA"/>
    <x v="4"/>
    <x v="0"/>
    <n v="25"/>
    <d v="2026-02-05T00:00:00"/>
  </r>
  <r>
    <n v="37"/>
    <s v="TUNDE BABA"/>
    <x v="0"/>
    <x v="0"/>
    <n v="27"/>
    <d v="2026-06-05T00:00:00"/>
  </r>
  <r>
    <n v="38"/>
    <s v="FATIMA BELLO"/>
    <x v="3"/>
    <x v="1"/>
    <n v="26"/>
    <d v="2026-08-05T00:00:00"/>
  </r>
  <r>
    <n v="39"/>
    <s v="AISHA MOHAMMED"/>
    <x v="6"/>
    <x v="1"/>
    <n v="21"/>
    <d v="2026-04-05T00:00:00"/>
  </r>
  <r>
    <n v="40"/>
    <s v="NGOZI NWANKWO"/>
    <x v="7"/>
    <x v="1"/>
    <n v="20"/>
    <d v="2026-09-05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8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D13" firstHeaderRow="1" firstDataRow="2" firstDataCol="1"/>
  <pivotFields count="6">
    <pivotField dataField="1" showAll="0"/>
    <pivotField showAll="0"/>
    <pivotField axis="axisRow" showAll="0" sortType="descending">
      <items count="9">
        <item x="4"/>
        <item x="0"/>
        <item x="2"/>
        <item x="3"/>
        <item x="5"/>
        <item x="6"/>
        <item x="7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showAll="0">
      <items count="3">
        <item x="1"/>
        <item x="0"/>
        <item t="default"/>
      </items>
    </pivotField>
    <pivotField showAll="0"/>
    <pivotField numFmtId="164" showAll="0"/>
  </pivotFields>
  <rowFields count="1">
    <field x="2"/>
  </rowFields>
  <rowItems count="9">
    <i>
      <x v="1"/>
    </i>
    <i>
      <x v="5"/>
    </i>
    <i>
      <x v="3"/>
    </i>
    <i>
      <x v="7"/>
    </i>
    <i>
      <x v="6"/>
    </i>
    <i>
      <x/>
    </i>
    <i>
      <x v="2"/>
    </i>
    <i>
      <x v="4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Count of ID" fld="0" subtotal="count" baseField="2" baseItem="0"/>
  </dataField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2"/>
  <sheetViews>
    <sheetView workbookViewId="0">
      <pane ySplit="2" topLeftCell="A3" activePane="bottomLeft" state="frozen"/>
      <selection pane="bottomLeft" activeCell="F5" sqref="F5"/>
    </sheetView>
  </sheetViews>
  <sheetFormatPr defaultRowHeight="15" x14ac:dyDescent="0.25"/>
  <cols>
    <col min="1" max="1" width="9.140625" style="78"/>
    <col min="2" max="2" width="20.28515625" style="83" customWidth="1"/>
    <col min="3" max="3" width="22.42578125" style="83" customWidth="1"/>
    <col min="4" max="4" width="11.140625" style="83" customWidth="1"/>
    <col min="5" max="5" width="9.140625" style="78" customWidth="1"/>
    <col min="6" max="6" width="12.85546875" style="12" customWidth="1"/>
    <col min="7" max="7" width="13.42578125" style="65" customWidth="1"/>
    <col min="8" max="16384" width="9.140625" style="12"/>
  </cols>
  <sheetData>
    <row r="1" spans="1:14" ht="27" customHeight="1" x14ac:dyDescent="0.25">
      <c r="A1" s="90" t="s">
        <v>6</v>
      </c>
      <c r="B1" s="91"/>
      <c r="C1" s="91"/>
      <c r="D1" s="91"/>
      <c r="E1" s="91"/>
      <c r="F1" s="91"/>
      <c r="G1" s="91"/>
    </row>
    <row r="2" spans="1:14" ht="21.75" customHeight="1" x14ac:dyDescent="0.25">
      <c r="A2" s="74" t="s">
        <v>0</v>
      </c>
      <c r="B2" s="79" t="s">
        <v>1</v>
      </c>
      <c r="C2" s="79" t="s">
        <v>2</v>
      </c>
      <c r="D2" s="79" t="s">
        <v>3</v>
      </c>
      <c r="E2" s="74" t="s">
        <v>4</v>
      </c>
      <c r="F2" s="57" t="s">
        <v>81</v>
      </c>
      <c r="G2" s="58" t="s">
        <v>5</v>
      </c>
    </row>
    <row r="3" spans="1:14" x14ac:dyDescent="0.25">
      <c r="A3" s="75">
        <v>1</v>
      </c>
      <c r="B3" s="80" t="s">
        <v>7</v>
      </c>
      <c r="C3" s="80" t="s">
        <v>47</v>
      </c>
      <c r="D3" s="80" t="s">
        <v>55</v>
      </c>
      <c r="E3" s="85">
        <v>20</v>
      </c>
      <c r="F3" s="59" t="str">
        <f>IF(E3&lt;=22,"20-22",IF(E3&lt;=25,"23-25","26-28"))</f>
        <v>20-22</v>
      </c>
      <c r="G3" s="60">
        <v>46027</v>
      </c>
      <c r="J3" s="12" t="s">
        <v>57</v>
      </c>
      <c r="K3" s="12" t="s">
        <v>57</v>
      </c>
      <c r="L3" s="12" t="s">
        <v>57</v>
      </c>
      <c r="M3" s="12" t="s">
        <v>57</v>
      </c>
      <c r="N3" s="12" t="s">
        <v>57</v>
      </c>
    </row>
    <row r="4" spans="1:14" x14ac:dyDescent="0.25">
      <c r="A4" s="76">
        <v>2</v>
      </c>
      <c r="B4" s="81" t="s">
        <v>8</v>
      </c>
      <c r="C4" s="81" t="s">
        <v>48</v>
      </c>
      <c r="D4" s="81" t="s">
        <v>56</v>
      </c>
      <c r="E4" s="86">
        <v>21</v>
      </c>
      <c r="F4" s="61" t="str">
        <f>IF(E4&lt;=22,"20-22",IF(E4&lt;=25,"23-25","26-28"))</f>
        <v>20-22</v>
      </c>
      <c r="G4" s="62">
        <v>46086</v>
      </c>
    </row>
    <row r="5" spans="1:14" x14ac:dyDescent="0.25">
      <c r="A5" s="75">
        <v>3</v>
      </c>
      <c r="B5" s="80" t="s">
        <v>9</v>
      </c>
      <c r="C5" s="80" t="s">
        <v>49</v>
      </c>
      <c r="D5" s="80" t="s">
        <v>55</v>
      </c>
      <c r="E5" s="85">
        <v>24</v>
      </c>
      <c r="F5" s="59" t="str">
        <f t="shared" ref="F5:F6" si="0">IF(E5&lt;=22,"20-22",IF(E5&lt;=25,"23-25","26-28"))</f>
        <v>23-25</v>
      </c>
      <c r="G5" s="60">
        <v>46270</v>
      </c>
    </row>
    <row r="6" spans="1:14" x14ac:dyDescent="0.25">
      <c r="A6" s="76">
        <v>4</v>
      </c>
      <c r="B6" s="81" t="s">
        <v>10</v>
      </c>
      <c r="C6" s="81" t="s">
        <v>47</v>
      </c>
      <c r="D6" s="81" t="s">
        <v>56</v>
      </c>
      <c r="E6" s="86">
        <v>25</v>
      </c>
      <c r="F6" s="61" t="str">
        <f t="shared" si="0"/>
        <v>23-25</v>
      </c>
      <c r="G6" s="62">
        <v>46117</v>
      </c>
    </row>
    <row r="7" spans="1:14" x14ac:dyDescent="0.25">
      <c r="A7" s="75">
        <v>5</v>
      </c>
      <c r="B7" s="80" t="s">
        <v>11</v>
      </c>
      <c r="C7" s="80" t="s">
        <v>50</v>
      </c>
      <c r="D7" s="80" t="s">
        <v>55</v>
      </c>
      <c r="E7" s="85">
        <v>23</v>
      </c>
      <c r="F7" s="59" t="str">
        <f>IF(E7&lt;=22,"20-22",IF(E7&lt;=25,"23-25","26-28"))</f>
        <v>23-25</v>
      </c>
      <c r="G7" s="60">
        <v>46086</v>
      </c>
    </row>
    <row r="8" spans="1:14" x14ac:dyDescent="0.25">
      <c r="A8" s="76">
        <v>6</v>
      </c>
      <c r="B8" s="81" t="s">
        <v>12</v>
      </c>
      <c r="C8" s="81" t="s">
        <v>51</v>
      </c>
      <c r="D8" s="81" t="s">
        <v>55</v>
      </c>
      <c r="E8" s="86">
        <v>20</v>
      </c>
      <c r="F8" s="61" t="str">
        <f>IF(E8&lt;=22,"20-22",IF(E8&lt;=25,"23-25","26-28"))</f>
        <v>20-22</v>
      </c>
      <c r="G8" s="62">
        <v>46117</v>
      </c>
    </row>
    <row r="9" spans="1:14" x14ac:dyDescent="0.25">
      <c r="A9" s="75">
        <v>7</v>
      </c>
      <c r="B9" s="80" t="s">
        <v>13</v>
      </c>
      <c r="C9" s="80" t="s">
        <v>52</v>
      </c>
      <c r="D9" s="80" t="s">
        <v>55</v>
      </c>
      <c r="E9" s="85">
        <v>22</v>
      </c>
      <c r="F9" s="59" t="str">
        <f t="shared" ref="F9:F42" si="1">IF(E9&lt;=22,"20-22",IF(E9&lt;=25,"23-25","26-28"))</f>
        <v>20-22</v>
      </c>
      <c r="G9" s="60">
        <v>46147</v>
      </c>
    </row>
    <row r="10" spans="1:14" x14ac:dyDescent="0.25">
      <c r="A10" s="76">
        <v>8</v>
      </c>
      <c r="B10" s="81" t="s">
        <v>14</v>
      </c>
      <c r="C10" s="81" t="s">
        <v>53</v>
      </c>
      <c r="D10" s="81" t="s">
        <v>56</v>
      </c>
      <c r="E10" s="86">
        <v>26</v>
      </c>
      <c r="F10" s="61" t="str">
        <f t="shared" si="1"/>
        <v>26-28</v>
      </c>
      <c r="G10" s="62">
        <v>46147</v>
      </c>
    </row>
    <row r="11" spans="1:14" x14ac:dyDescent="0.25">
      <c r="A11" s="75">
        <v>9</v>
      </c>
      <c r="B11" s="80" t="s">
        <v>15</v>
      </c>
      <c r="C11" s="80" t="s">
        <v>47</v>
      </c>
      <c r="D11" s="80" t="s">
        <v>56</v>
      </c>
      <c r="E11" s="85">
        <v>27</v>
      </c>
      <c r="F11" s="59" t="str">
        <f t="shared" si="1"/>
        <v>26-28</v>
      </c>
      <c r="G11" s="60">
        <v>46058</v>
      </c>
    </row>
    <row r="12" spans="1:14" x14ac:dyDescent="0.25">
      <c r="A12" s="76">
        <v>10</v>
      </c>
      <c r="B12" s="81" t="s">
        <v>16</v>
      </c>
      <c r="C12" s="81" t="s">
        <v>50</v>
      </c>
      <c r="D12" s="81" t="s">
        <v>56</v>
      </c>
      <c r="E12" s="86">
        <v>23</v>
      </c>
      <c r="F12" s="61" t="str">
        <f t="shared" si="1"/>
        <v>23-25</v>
      </c>
      <c r="G12" s="62">
        <v>46239</v>
      </c>
    </row>
    <row r="13" spans="1:14" x14ac:dyDescent="0.25">
      <c r="A13" s="75">
        <v>11</v>
      </c>
      <c r="B13" s="80" t="s">
        <v>17</v>
      </c>
      <c r="C13" s="80" t="s">
        <v>52</v>
      </c>
      <c r="D13" s="80" t="s">
        <v>55</v>
      </c>
      <c r="E13" s="85">
        <v>21</v>
      </c>
      <c r="F13" s="59" t="str">
        <f t="shared" si="1"/>
        <v>20-22</v>
      </c>
      <c r="G13" s="60">
        <v>46208</v>
      </c>
    </row>
    <row r="14" spans="1:14" x14ac:dyDescent="0.25">
      <c r="A14" s="76">
        <v>12</v>
      </c>
      <c r="B14" s="81" t="s">
        <v>18</v>
      </c>
      <c r="C14" s="81" t="s">
        <v>47</v>
      </c>
      <c r="D14" s="81" t="s">
        <v>55</v>
      </c>
      <c r="E14" s="86">
        <v>22</v>
      </c>
      <c r="F14" s="61" t="str">
        <f t="shared" si="1"/>
        <v>20-22</v>
      </c>
      <c r="G14" s="62">
        <v>46208</v>
      </c>
    </row>
    <row r="15" spans="1:14" x14ac:dyDescent="0.25">
      <c r="A15" s="75">
        <v>13</v>
      </c>
      <c r="B15" s="80" t="s">
        <v>19</v>
      </c>
      <c r="C15" s="80" t="s">
        <v>49</v>
      </c>
      <c r="D15" s="80" t="s">
        <v>55</v>
      </c>
      <c r="E15" s="85">
        <v>25</v>
      </c>
      <c r="F15" s="59" t="str">
        <f t="shared" si="1"/>
        <v>23-25</v>
      </c>
      <c r="G15" s="60">
        <v>46178</v>
      </c>
    </row>
    <row r="16" spans="1:14" x14ac:dyDescent="0.25">
      <c r="A16" s="76">
        <v>14</v>
      </c>
      <c r="B16" s="81" t="s">
        <v>20</v>
      </c>
      <c r="C16" s="81" t="s">
        <v>54</v>
      </c>
      <c r="D16" s="81" t="s">
        <v>55</v>
      </c>
      <c r="E16" s="86">
        <v>24</v>
      </c>
      <c r="F16" s="61" t="str">
        <f t="shared" si="1"/>
        <v>23-25</v>
      </c>
      <c r="G16" s="62">
        <v>46147</v>
      </c>
    </row>
    <row r="17" spans="1:7" x14ac:dyDescent="0.25">
      <c r="A17" s="75">
        <v>15</v>
      </c>
      <c r="B17" s="80" t="s">
        <v>21</v>
      </c>
      <c r="C17" s="80" t="s">
        <v>47</v>
      </c>
      <c r="D17" s="80" t="s">
        <v>55</v>
      </c>
      <c r="E17" s="85">
        <v>20</v>
      </c>
      <c r="F17" s="59" t="str">
        <f t="shared" si="1"/>
        <v>20-22</v>
      </c>
      <c r="G17" s="60">
        <v>46086</v>
      </c>
    </row>
    <row r="18" spans="1:7" x14ac:dyDescent="0.25">
      <c r="A18" s="76">
        <v>16</v>
      </c>
      <c r="B18" s="81" t="s">
        <v>22</v>
      </c>
      <c r="C18" s="81" t="s">
        <v>52</v>
      </c>
      <c r="D18" s="81" t="s">
        <v>55</v>
      </c>
      <c r="E18" s="86">
        <v>23</v>
      </c>
      <c r="F18" s="61" t="str">
        <f t="shared" si="1"/>
        <v>23-25</v>
      </c>
      <c r="G18" s="62">
        <v>46027</v>
      </c>
    </row>
    <row r="19" spans="1:7" x14ac:dyDescent="0.25">
      <c r="A19" s="75">
        <v>17</v>
      </c>
      <c r="B19" s="80" t="s">
        <v>23</v>
      </c>
      <c r="C19" s="80" t="s">
        <v>54</v>
      </c>
      <c r="D19" s="80" t="s">
        <v>55</v>
      </c>
      <c r="E19" s="85">
        <v>27</v>
      </c>
      <c r="F19" s="59" t="str">
        <f t="shared" si="1"/>
        <v>26-28</v>
      </c>
      <c r="G19" s="60">
        <v>46147</v>
      </c>
    </row>
    <row r="20" spans="1:7" x14ac:dyDescent="0.25">
      <c r="A20" s="76">
        <v>18</v>
      </c>
      <c r="B20" s="81" t="s">
        <v>24</v>
      </c>
      <c r="C20" s="81" t="s">
        <v>53</v>
      </c>
      <c r="D20" s="81" t="s">
        <v>56</v>
      </c>
      <c r="E20" s="86">
        <v>27</v>
      </c>
      <c r="F20" s="61" t="str">
        <f t="shared" si="1"/>
        <v>26-28</v>
      </c>
      <c r="G20" s="62">
        <v>46117</v>
      </c>
    </row>
    <row r="21" spans="1:7" x14ac:dyDescent="0.25">
      <c r="A21" s="75">
        <v>19</v>
      </c>
      <c r="B21" s="80" t="s">
        <v>25</v>
      </c>
      <c r="C21" s="80" t="s">
        <v>50</v>
      </c>
      <c r="D21" s="80" t="s">
        <v>55</v>
      </c>
      <c r="E21" s="85">
        <v>23</v>
      </c>
      <c r="F21" s="59" t="str">
        <f t="shared" si="1"/>
        <v>23-25</v>
      </c>
      <c r="G21" s="60">
        <v>46147</v>
      </c>
    </row>
    <row r="22" spans="1:7" x14ac:dyDescent="0.25">
      <c r="A22" s="76">
        <v>20</v>
      </c>
      <c r="B22" s="81" t="s">
        <v>26</v>
      </c>
      <c r="C22" s="81" t="s">
        <v>48</v>
      </c>
      <c r="D22" s="81" t="s">
        <v>55</v>
      </c>
      <c r="E22" s="86">
        <v>25</v>
      </c>
      <c r="F22" s="61" t="str">
        <f t="shared" si="1"/>
        <v>23-25</v>
      </c>
      <c r="G22" s="62">
        <v>46058</v>
      </c>
    </row>
    <row r="23" spans="1:7" x14ac:dyDescent="0.25">
      <c r="A23" s="75">
        <v>21</v>
      </c>
      <c r="B23" s="80" t="s">
        <v>27</v>
      </c>
      <c r="C23" s="80" t="s">
        <v>47</v>
      </c>
      <c r="D23" s="80" t="s">
        <v>55</v>
      </c>
      <c r="E23" s="85">
        <v>22</v>
      </c>
      <c r="F23" s="59" t="str">
        <f t="shared" si="1"/>
        <v>20-22</v>
      </c>
      <c r="G23" s="60">
        <v>46058</v>
      </c>
    </row>
    <row r="24" spans="1:7" x14ac:dyDescent="0.25">
      <c r="A24" s="76">
        <v>22</v>
      </c>
      <c r="B24" s="81" t="s">
        <v>28</v>
      </c>
      <c r="C24" s="81" t="s">
        <v>51</v>
      </c>
      <c r="D24" s="81" t="s">
        <v>55</v>
      </c>
      <c r="E24" s="86">
        <v>24</v>
      </c>
      <c r="F24" s="61" t="str">
        <f t="shared" si="1"/>
        <v>23-25</v>
      </c>
      <c r="G24" s="62">
        <v>46086</v>
      </c>
    </row>
    <row r="25" spans="1:7" x14ac:dyDescent="0.25">
      <c r="A25" s="75">
        <v>23</v>
      </c>
      <c r="B25" s="80" t="s">
        <v>29</v>
      </c>
      <c r="C25" s="80" t="s">
        <v>51</v>
      </c>
      <c r="D25" s="80" t="s">
        <v>56</v>
      </c>
      <c r="E25" s="85">
        <v>26</v>
      </c>
      <c r="F25" s="59" t="str">
        <f t="shared" si="1"/>
        <v>26-28</v>
      </c>
      <c r="G25" s="60">
        <v>46117</v>
      </c>
    </row>
    <row r="26" spans="1:7" x14ac:dyDescent="0.25">
      <c r="A26" s="76">
        <v>24</v>
      </c>
      <c r="B26" s="81" t="s">
        <v>30</v>
      </c>
      <c r="C26" s="81" t="s">
        <v>47</v>
      </c>
      <c r="D26" s="81" t="s">
        <v>55</v>
      </c>
      <c r="E26" s="86">
        <v>21</v>
      </c>
      <c r="F26" s="61" t="str">
        <f t="shared" si="1"/>
        <v>20-22</v>
      </c>
      <c r="G26" s="62">
        <v>46270</v>
      </c>
    </row>
    <row r="27" spans="1:7" x14ac:dyDescent="0.25">
      <c r="A27" s="75">
        <v>25</v>
      </c>
      <c r="B27" s="80" t="s">
        <v>31</v>
      </c>
      <c r="C27" s="80" t="s">
        <v>49</v>
      </c>
      <c r="D27" s="80" t="s">
        <v>56</v>
      </c>
      <c r="E27" s="85">
        <v>20</v>
      </c>
      <c r="F27" s="59" t="str">
        <f t="shared" si="1"/>
        <v>20-22</v>
      </c>
      <c r="G27" s="60">
        <v>46239</v>
      </c>
    </row>
    <row r="28" spans="1:7" x14ac:dyDescent="0.25">
      <c r="A28" s="76">
        <v>26</v>
      </c>
      <c r="B28" s="81" t="s">
        <v>32</v>
      </c>
      <c r="C28" s="81" t="s">
        <v>53</v>
      </c>
      <c r="D28" s="81" t="s">
        <v>55</v>
      </c>
      <c r="E28" s="86">
        <v>28</v>
      </c>
      <c r="F28" s="61" t="str">
        <f t="shared" si="1"/>
        <v>26-28</v>
      </c>
      <c r="G28" s="62">
        <v>46208</v>
      </c>
    </row>
    <row r="29" spans="1:7" x14ac:dyDescent="0.25">
      <c r="A29" s="75">
        <v>27</v>
      </c>
      <c r="B29" s="80" t="s">
        <v>33</v>
      </c>
      <c r="C29" s="80" t="s">
        <v>48</v>
      </c>
      <c r="D29" s="80" t="s">
        <v>56</v>
      </c>
      <c r="E29" s="85">
        <v>24</v>
      </c>
      <c r="F29" s="59" t="str">
        <f t="shared" si="1"/>
        <v>23-25</v>
      </c>
      <c r="G29" s="60">
        <v>46147</v>
      </c>
    </row>
    <row r="30" spans="1:7" x14ac:dyDescent="0.25">
      <c r="A30" s="76">
        <v>28</v>
      </c>
      <c r="B30" s="81" t="s">
        <v>34</v>
      </c>
      <c r="C30" s="81" t="s">
        <v>47</v>
      </c>
      <c r="D30" s="81" t="s">
        <v>55</v>
      </c>
      <c r="E30" s="86">
        <v>22</v>
      </c>
      <c r="F30" s="61" t="str">
        <f t="shared" si="1"/>
        <v>20-22</v>
      </c>
      <c r="G30" s="62">
        <v>46086</v>
      </c>
    </row>
    <row r="31" spans="1:7" x14ac:dyDescent="0.25">
      <c r="A31" s="75">
        <v>29</v>
      </c>
      <c r="B31" s="80" t="s">
        <v>35</v>
      </c>
      <c r="C31" s="80" t="s">
        <v>50</v>
      </c>
      <c r="D31" s="80" t="s">
        <v>55</v>
      </c>
      <c r="E31" s="85">
        <v>23</v>
      </c>
      <c r="F31" s="59" t="str">
        <f t="shared" si="1"/>
        <v>23-25</v>
      </c>
      <c r="G31" s="60">
        <v>46147</v>
      </c>
    </row>
    <row r="32" spans="1:7" x14ac:dyDescent="0.25">
      <c r="A32" s="76">
        <v>30</v>
      </c>
      <c r="B32" s="81" t="s">
        <v>36</v>
      </c>
      <c r="C32" s="81" t="s">
        <v>47</v>
      </c>
      <c r="D32" s="81" t="s">
        <v>55</v>
      </c>
      <c r="E32" s="86">
        <v>26</v>
      </c>
      <c r="F32" s="61" t="str">
        <f t="shared" si="1"/>
        <v>26-28</v>
      </c>
      <c r="G32" s="62">
        <v>46117</v>
      </c>
    </row>
    <row r="33" spans="1:7" x14ac:dyDescent="0.25">
      <c r="A33" s="75">
        <v>31</v>
      </c>
      <c r="B33" s="80" t="s">
        <v>37</v>
      </c>
      <c r="C33" s="80" t="s">
        <v>49</v>
      </c>
      <c r="D33" s="80" t="s">
        <v>56</v>
      </c>
      <c r="E33" s="85">
        <v>20</v>
      </c>
      <c r="F33" s="59" t="str">
        <f t="shared" si="1"/>
        <v>20-22</v>
      </c>
      <c r="G33" s="60">
        <v>46208</v>
      </c>
    </row>
    <row r="34" spans="1:7" x14ac:dyDescent="0.25">
      <c r="A34" s="76">
        <v>32</v>
      </c>
      <c r="B34" s="81" t="s">
        <v>38</v>
      </c>
      <c r="C34" s="81" t="s">
        <v>47</v>
      </c>
      <c r="D34" s="81" t="s">
        <v>56</v>
      </c>
      <c r="E34" s="86">
        <v>21</v>
      </c>
      <c r="F34" s="61" t="str">
        <f t="shared" si="1"/>
        <v>20-22</v>
      </c>
      <c r="G34" s="62">
        <v>46117</v>
      </c>
    </row>
    <row r="35" spans="1:7" x14ac:dyDescent="0.25">
      <c r="A35" s="75">
        <v>33</v>
      </c>
      <c r="B35" s="80" t="s">
        <v>39</v>
      </c>
      <c r="C35" s="80" t="s">
        <v>53</v>
      </c>
      <c r="D35" s="80" t="s">
        <v>56</v>
      </c>
      <c r="E35" s="85">
        <v>22</v>
      </c>
      <c r="F35" s="59" t="str">
        <f t="shared" si="1"/>
        <v>20-22</v>
      </c>
      <c r="G35" s="60">
        <v>46147</v>
      </c>
    </row>
    <row r="36" spans="1:7" x14ac:dyDescent="0.25">
      <c r="A36" s="76">
        <v>34</v>
      </c>
      <c r="B36" s="81" t="s">
        <v>40</v>
      </c>
      <c r="C36" s="81" t="s">
        <v>54</v>
      </c>
      <c r="D36" s="81" t="s">
        <v>56</v>
      </c>
      <c r="E36" s="86">
        <v>23</v>
      </c>
      <c r="F36" s="61" t="str">
        <f t="shared" si="1"/>
        <v>23-25</v>
      </c>
      <c r="G36" s="62">
        <v>46027</v>
      </c>
    </row>
    <row r="37" spans="1:7" x14ac:dyDescent="0.25">
      <c r="A37" s="75">
        <v>35</v>
      </c>
      <c r="B37" s="80" t="s">
        <v>41</v>
      </c>
      <c r="C37" s="80" t="s">
        <v>48</v>
      </c>
      <c r="D37" s="80" t="s">
        <v>55</v>
      </c>
      <c r="E37" s="85">
        <v>24</v>
      </c>
      <c r="F37" s="59" t="str">
        <f t="shared" si="1"/>
        <v>23-25</v>
      </c>
      <c r="G37" s="60">
        <v>46086</v>
      </c>
    </row>
    <row r="38" spans="1:7" x14ac:dyDescent="0.25">
      <c r="A38" s="76">
        <v>36</v>
      </c>
      <c r="B38" s="81" t="s">
        <v>42</v>
      </c>
      <c r="C38" s="81" t="s">
        <v>51</v>
      </c>
      <c r="D38" s="81" t="s">
        <v>55</v>
      </c>
      <c r="E38" s="86">
        <v>25</v>
      </c>
      <c r="F38" s="61" t="str">
        <f t="shared" si="1"/>
        <v>23-25</v>
      </c>
      <c r="G38" s="62">
        <v>46058</v>
      </c>
    </row>
    <row r="39" spans="1:7" x14ac:dyDescent="0.25">
      <c r="A39" s="75">
        <v>37</v>
      </c>
      <c r="B39" s="80" t="s">
        <v>43</v>
      </c>
      <c r="C39" s="80" t="s">
        <v>47</v>
      </c>
      <c r="D39" s="80" t="s">
        <v>55</v>
      </c>
      <c r="E39" s="85">
        <v>27</v>
      </c>
      <c r="F39" s="59" t="str">
        <f t="shared" si="1"/>
        <v>26-28</v>
      </c>
      <c r="G39" s="60">
        <v>46178</v>
      </c>
    </row>
    <row r="40" spans="1:7" x14ac:dyDescent="0.25">
      <c r="A40" s="76">
        <v>38</v>
      </c>
      <c r="B40" s="81" t="s">
        <v>44</v>
      </c>
      <c r="C40" s="81" t="s">
        <v>50</v>
      </c>
      <c r="D40" s="81" t="s">
        <v>56</v>
      </c>
      <c r="E40" s="86">
        <v>26</v>
      </c>
      <c r="F40" s="61" t="str">
        <f t="shared" si="1"/>
        <v>26-28</v>
      </c>
      <c r="G40" s="62">
        <v>46239</v>
      </c>
    </row>
    <row r="41" spans="1:7" x14ac:dyDescent="0.25">
      <c r="A41" s="75">
        <v>39</v>
      </c>
      <c r="B41" s="80" t="s">
        <v>45</v>
      </c>
      <c r="C41" s="80" t="s">
        <v>53</v>
      </c>
      <c r="D41" s="80" t="s">
        <v>56</v>
      </c>
      <c r="E41" s="85">
        <v>21</v>
      </c>
      <c r="F41" s="59" t="str">
        <f t="shared" si="1"/>
        <v>20-22</v>
      </c>
      <c r="G41" s="60">
        <v>46117</v>
      </c>
    </row>
    <row r="42" spans="1:7" x14ac:dyDescent="0.25">
      <c r="A42" s="77">
        <v>40</v>
      </c>
      <c r="B42" s="82" t="s">
        <v>46</v>
      </c>
      <c r="C42" s="82" t="s">
        <v>54</v>
      </c>
      <c r="D42" s="82" t="s">
        <v>56</v>
      </c>
      <c r="E42" s="87">
        <v>20</v>
      </c>
      <c r="F42" s="63" t="str">
        <f t="shared" si="1"/>
        <v>20-22</v>
      </c>
      <c r="G42" s="64">
        <v>46270</v>
      </c>
    </row>
  </sheetData>
  <sheetProtection algorithmName="SHA-512" hashValue="2i+lComMXMPkox6zZDUlpUw7Tp5d6gOI7L2fUKmoRVqPSQYkSWe9qdNPFnpw6bl3wnhoxm/dbuIJTQZ+Rum8ug==" saltValue="58jjGcz5lDvnFZdQ/V6/NA==" spinCount="100000" sheet="1" objects="1" scenarios="1"/>
  <mergeCells count="1">
    <mergeCell ref="A1:G1"/>
  </mergeCells>
  <conditionalFormatting sqref="F3:F4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">
      <colorScale>
        <cfvo type="min"/>
        <cfvo type="max"/>
        <color rgb="FFFF7128"/>
        <color rgb="FFFFEF9C"/>
      </colorScale>
    </cfRule>
  </conditionalFormatting>
  <dataValidations count="1">
    <dataValidation type="list" allowBlank="1" showInputMessage="1" showErrorMessage="1" errorTitle="Invalid Entry" error="Please select MALE or FEMALE only from the dropdown list" sqref="D3:D42">
      <formula1>"MALE,FEMALE"</formula1>
    </dataValidation>
  </dataValidations>
  <pageMargins left="0.7" right="0.7" top="0.75" bottom="0.75" header="0.3" footer="0.3"/>
  <pageSetup orientation="portrait" r:id="rId1"/>
  <ignoredErrors>
    <ignoredError sqref="F3:F42" unlockedFormula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Invalid Entry" error="Please select a valid course from the dropdown list">
          <x14:formula1>
            <xm:f>'COURSE COUNT ANALYSIS'!$B$3:$B$10</xm:f>
          </x14:formula1>
          <xm:sqref>C3:C42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13"/>
  <sheetViews>
    <sheetView tabSelected="1" workbookViewId="0">
      <selection activeCell="D6" sqref="D6"/>
    </sheetView>
  </sheetViews>
  <sheetFormatPr defaultRowHeight="15" x14ac:dyDescent="0.25"/>
  <cols>
    <col min="1" max="1" width="22.140625" bestFit="1" customWidth="1"/>
    <col min="2" max="2" width="16.28515625" bestFit="1" customWidth="1"/>
    <col min="3" max="3" width="6" customWidth="1"/>
    <col min="4" max="4" width="11.28515625" bestFit="1" customWidth="1"/>
  </cols>
  <sheetData>
    <row r="3" spans="1:4" x14ac:dyDescent="0.25">
      <c r="A3" s="2" t="s">
        <v>61</v>
      </c>
      <c r="B3" s="2" t="s">
        <v>62</v>
      </c>
    </row>
    <row r="4" spans="1:4" x14ac:dyDescent="0.25">
      <c r="A4" s="2" t="s">
        <v>63</v>
      </c>
      <c r="B4" t="s">
        <v>56</v>
      </c>
      <c r="C4" t="s">
        <v>55</v>
      </c>
      <c r="D4" t="s">
        <v>64</v>
      </c>
    </row>
    <row r="5" spans="1:4" x14ac:dyDescent="0.25">
      <c r="A5" s="3" t="s">
        <v>47</v>
      </c>
      <c r="B5" s="4">
        <v>3</v>
      </c>
      <c r="C5" s="4">
        <v>8</v>
      </c>
      <c r="D5" s="4">
        <v>11</v>
      </c>
    </row>
    <row r="6" spans="1:4" x14ac:dyDescent="0.25">
      <c r="A6" s="3" t="s">
        <v>53</v>
      </c>
      <c r="B6" s="4">
        <v>4</v>
      </c>
      <c r="C6" s="4">
        <v>1</v>
      </c>
      <c r="D6" s="4">
        <v>5</v>
      </c>
    </row>
    <row r="7" spans="1:4" x14ac:dyDescent="0.25">
      <c r="A7" s="3" t="s">
        <v>50</v>
      </c>
      <c r="B7" s="4">
        <v>2</v>
      </c>
      <c r="C7" s="4">
        <v>3</v>
      </c>
      <c r="D7" s="4">
        <v>5</v>
      </c>
    </row>
    <row r="8" spans="1:4" x14ac:dyDescent="0.25">
      <c r="A8" s="3" t="s">
        <v>48</v>
      </c>
      <c r="B8" s="4">
        <v>2</v>
      </c>
      <c r="C8" s="4">
        <v>2</v>
      </c>
      <c r="D8" s="4">
        <v>4</v>
      </c>
    </row>
    <row r="9" spans="1:4" x14ac:dyDescent="0.25">
      <c r="A9" s="3" t="s">
        <v>54</v>
      </c>
      <c r="B9" s="4">
        <v>2</v>
      </c>
      <c r="C9" s="4">
        <v>2</v>
      </c>
      <c r="D9" s="4">
        <v>4</v>
      </c>
    </row>
    <row r="10" spans="1:4" x14ac:dyDescent="0.25">
      <c r="A10" s="3" t="s">
        <v>51</v>
      </c>
      <c r="B10" s="4">
        <v>1</v>
      </c>
      <c r="C10" s="4">
        <v>3</v>
      </c>
      <c r="D10" s="4">
        <v>4</v>
      </c>
    </row>
    <row r="11" spans="1:4" x14ac:dyDescent="0.25">
      <c r="A11" s="3" t="s">
        <v>49</v>
      </c>
      <c r="B11" s="4">
        <v>2</v>
      </c>
      <c r="C11" s="4">
        <v>2</v>
      </c>
      <c r="D11" s="4">
        <v>4</v>
      </c>
    </row>
    <row r="12" spans="1:4" x14ac:dyDescent="0.25">
      <c r="A12" s="3" t="s">
        <v>52</v>
      </c>
      <c r="B12" s="4"/>
      <c r="C12" s="4">
        <v>3</v>
      </c>
      <c r="D12" s="4">
        <v>3</v>
      </c>
    </row>
    <row r="13" spans="1:4" x14ac:dyDescent="0.25">
      <c r="A13" s="3" t="s">
        <v>64</v>
      </c>
      <c r="B13" s="4">
        <v>16</v>
      </c>
      <c r="C13" s="4">
        <v>24</v>
      </c>
      <c r="D13" s="4">
        <v>40</v>
      </c>
    </row>
  </sheetData>
  <sheetProtection algorithmName="SHA-512" hashValue="baOBTDs/SV3w1LrfxiziYi2vqbr1Y2XOB62cZbjDuTUSrJKILjtNtX0iZipt3AzUMJYxdlcVT4Cqjfi3eZU/hg==" saltValue="JbRyZ7u2CzGLxBx6OgTCXQ==" spinCount="100000" sheet="1" objects="1" scenario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workbookViewId="0">
      <selection activeCell="D4" sqref="D4"/>
    </sheetView>
  </sheetViews>
  <sheetFormatPr defaultRowHeight="15" x14ac:dyDescent="0.25"/>
  <cols>
    <col min="1" max="1" width="6.85546875" style="5" customWidth="1"/>
    <col min="2" max="2" width="22.7109375" style="5" customWidth="1"/>
    <col min="3" max="3" width="16.140625" style="5" customWidth="1"/>
    <col min="4" max="4" width="21.7109375" style="5" customWidth="1"/>
    <col min="5" max="5" width="17.85546875" style="5" customWidth="1"/>
    <col min="6" max="16384" width="9.140625" style="5"/>
  </cols>
  <sheetData>
    <row r="1" spans="1:10" s="6" customFormat="1" ht="27" customHeight="1" x14ac:dyDescent="0.35">
      <c r="A1" s="92" t="s">
        <v>69</v>
      </c>
      <c r="B1" s="92"/>
      <c r="C1" s="92"/>
      <c r="D1" s="92"/>
      <c r="E1" s="92"/>
    </row>
    <row r="2" spans="1:10" ht="19.5" customHeight="1" x14ac:dyDescent="0.25">
      <c r="A2" s="30" t="s">
        <v>59</v>
      </c>
      <c r="B2" s="30" t="s">
        <v>2</v>
      </c>
      <c r="C2" s="30" t="s">
        <v>67</v>
      </c>
      <c r="D2" s="30" t="s">
        <v>68</v>
      </c>
      <c r="E2" s="31" t="s">
        <v>66</v>
      </c>
    </row>
    <row r="3" spans="1:10" x14ac:dyDescent="0.25">
      <c r="A3" s="33">
        <v>1</v>
      </c>
      <c r="B3" s="33" t="s">
        <v>47</v>
      </c>
      <c r="C3" s="35">
        <f>COUNTIF('REGISTRATION REPORT'!$C:$C, B3)</f>
        <v>11</v>
      </c>
      <c r="D3" s="36">
        <f>C3/$C$11*100</f>
        <v>27.500000000000004</v>
      </c>
      <c r="E3" s="37">
        <f>RANK(C3,$C$3:$C$10,0)</f>
        <v>1</v>
      </c>
      <c r="H3" s="7" t="s">
        <v>57</v>
      </c>
      <c r="I3" s="5" t="s">
        <v>57</v>
      </c>
      <c r="J3" s="5" t="s">
        <v>57</v>
      </c>
    </row>
    <row r="4" spans="1:10" x14ac:dyDescent="0.25">
      <c r="A4" s="32">
        <v>2</v>
      </c>
      <c r="B4" s="32" t="s">
        <v>50</v>
      </c>
      <c r="C4" s="35">
        <f>COUNTIF('REGISTRATION REPORT'!$C:$C, B4)</f>
        <v>5</v>
      </c>
      <c r="D4" s="38">
        <f t="shared" ref="D4:D11" si="0">C4/$C$11*100</f>
        <v>12.5</v>
      </c>
      <c r="E4" s="39">
        <f t="shared" ref="E4:E10" si="1">RANK(C4,$C$3:$C$10,0)</f>
        <v>2</v>
      </c>
      <c r="J4" s="5" t="s">
        <v>57</v>
      </c>
    </row>
    <row r="5" spans="1:10" x14ac:dyDescent="0.25">
      <c r="A5" s="33">
        <v>3</v>
      </c>
      <c r="B5" s="33" t="s">
        <v>53</v>
      </c>
      <c r="C5" s="35">
        <f>COUNTIF('REGISTRATION REPORT'!$C:$C, B5)</f>
        <v>5</v>
      </c>
      <c r="D5" s="36">
        <f t="shared" si="0"/>
        <v>12.5</v>
      </c>
      <c r="E5" s="37">
        <f t="shared" si="1"/>
        <v>2</v>
      </c>
    </row>
    <row r="6" spans="1:10" x14ac:dyDescent="0.25">
      <c r="A6" s="32">
        <v>4</v>
      </c>
      <c r="B6" s="32" t="s">
        <v>51</v>
      </c>
      <c r="C6" s="35">
        <f>COUNTIF('REGISTRATION REPORT'!$C:$C, B6)</f>
        <v>4</v>
      </c>
      <c r="D6" s="38">
        <f t="shared" si="0"/>
        <v>10</v>
      </c>
      <c r="E6" s="39">
        <f t="shared" si="1"/>
        <v>4</v>
      </c>
    </row>
    <row r="7" spans="1:10" x14ac:dyDescent="0.25">
      <c r="A7" s="33">
        <v>5</v>
      </c>
      <c r="B7" s="33" t="s">
        <v>49</v>
      </c>
      <c r="C7" s="35">
        <f>COUNTIF('REGISTRATION REPORT'!$C:$C, B7)</f>
        <v>4</v>
      </c>
      <c r="D7" s="36">
        <f t="shared" si="0"/>
        <v>10</v>
      </c>
      <c r="E7" s="37">
        <f t="shared" si="1"/>
        <v>4</v>
      </c>
    </row>
    <row r="8" spans="1:10" x14ac:dyDescent="0.25">
      <c r="A8" s="32">
        <v>6</v>
      </c>
      <c r="B8" s="32" t="s">
        <v>48</v>
      </c>
      <c r="C8" s="35">
        <f>COUNTIF('REGISTRATION REPORT'!$C:$C, B8)</f>
        <v>4</v>
      </c>
      <c r="D8" s="38">
        <f t="shared" si="0"/>
        <v>10</v>
      </c>
      <c r="E8" s="39">
        <f t="shared" si="1"/>
        <v>4</v>
      </c>
    </row>
    <row r="9" spans="1:10" x14ac:dyDescent="0.25">
      <c r="A9" s="33">
        <v>7</v>
      </c>
      <c r="B9" s="33" t="s">
        <v>54</v>
      </c>
      <c r="C9" s="35">
        <f>COUNTIF('REGISTRATION REPORT'!$C:$C, B9)</f>
        <v>4</v>
      </c>
      <c r="D9" s="36">
        <f t="shared" si="0"/>
        <v>10</v>
      </c>
      <c r="E9" s="37">
        <f t="shared" si="1"/>
        <v>4</v>
      </c>
    </row>
    <row r="10" spans="1:10" x14ac:dyDescent="0.25">
      <c r="A10" s="32">
        <v>8</v>
      </c>
      <c r="B10" s="32" t="s">
        <v>52</v>
      </c>
      <c r="C10" s="35">
        <f>COUNTIF('REGISTRATION REPORT'!$C:$C, B10)</f>
        <v>3</v>
      </c>
      <c r="D10" s="38">
        <f t="shared" si="0"/>
        <v>7.5</v>
      </c>
      <c r="E10" s="39">
        <f t="shared" si="1"/>
        <v>8</v>
      </c>
    </row>
    <row r="11" spans="1:10" ht="15.75" x14ac:dyDescent="0.25">
      <c r="A11" s="40" t="s">
        <v>57</v>
      </c>
      <c r="B11" s="34" t="s">
        <v>60</v>
      </c>
      <c r="C11" s="41">
        <f>SUM(C3:C10)</f>
        <v>40</v>
      </c>
      <c r="D11" s="42">
        <f t="shared" si="0"/>
        <v>100</v>
      </c>
      <c r="E11" s="43"/>
    </row>
    <row r="12" spans="1:10" x14ac:dyDescent="0.25">
      <c r="A12" s="5" t="s">
        <v>57</v>
      </c>
    </row>
    <row r="14" spans="1:10" x14ac:dyDescent="0.25">
      <c r="B14" s="5" t="s">
        <v>57</v>
      </c>
      <c r="C14" s="5" t="s">
        <v>57</v>
      </c>
    </row>
    <row r="15" spans="1:10" x14ac:dyDescent="0.25">
      <c r="B15" s="8" t="s">
        <v>57</v>
      </c>
    </row>
    <row r="16" spans="1:10" x14ac:dyDescent="0.25">
      <c r="B16" s="5" t="s">
        <v>57</v>
      </c>
      <c r="C16" s="5" t="s">
        <v>57</v>
      </c>
    </row>
    <row r="17" spans="2:2" x14ac:dyDescent="0.25">
      <c r="B17" s="5" t="s">
        <v>65</v>
      </c>
    </row>
  </sheetData>
  <sheetProtection algorithmName="SHA-512" hashValue="cVqLV4shfattQtgZV1X7MKfmphL592DSLxVeipUbwzPBxZFFr5mwZd8BDJAx/YRbOXPThrTkhzNNiLJTd3upKA==" saltValue="hx7ZwMpH1Qpw8G3aiMAFQQ==" spinCount="100000" sheet="1" objects="1" scenarios="1"/>
  <mergeCells count="1">
    <mergeCell ref="A1:E1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Views>
    <sheetView workbookViewId="0">
      <selection activeCell="F7" sqref="F7"/>
    </sheetView>
  </sheetViews>
  <sheetFormatPr defaultRowHeight="15" x14ac:dyDescent="0.25"/>
  <cols>
    <col min="1" max="1" width="6.7109375" style="5" customWidth="1"/>
    <col min="2" max="2" width="22.7109375" style="5" customWidth="1"/>
    <col min="3" max="3" width="7.42578125" style="5" customWidth="1"/>
    <col min="4" max="4" width="9.85546875" style="5" customWidth="1"/>
    <col min="5" max="5" width="9.7109375" style="5" customWidth="1"/>
    <col min="6" max="6" width="11.28515625" style="5" customWidth="1"/>
    <col min="7" max="7" width="21.5703125" style="5" customWidth="1"/>
    <col min="8" max="16384" width="9.140625" style="5"/>
  </cols>
  <sheetData>
    <row r="1" spans="1:13" ht="26.25" customHeight="1" x14ac:dyDescent="0.25">
      <c r="A1" s="92" t="s">
        <v>70</v>
      </c>
      <c r="B1" s="92"/>
      <c r="C1" s="92"/>
      <c r="D1" s="92"/>
      <c r="E1" s="92"/>
      <c r="F1" s="92"/>
    </row>
    <row r="2" spans="1:13" ht="18" customHeight="1" x14ac:dyDescent="0.25">
      <c r="A2" s="25" t="s">
        <v>59</v>
      </c>
      <c r="B2" s="25" t="s">
        <v>2</v>
      </c>
      <c r="C2" s="25" t="s">
        <v>55</v>
      </c>
      <c r="D2" s="25" t="s">
        <v>56</v>
      </c>
      <c r="E2" s="25" t="s">
        <v>87</v>
      </c>
      <c r="F2" s="25" t="s">
        <v>88</v>
      </c>
    </row>
    <row r="3" spans="1:13" x14ac:dyDescent="0.25">
      <c r="A3" s="10">
        <v>1</v>
      </c>
      <c r="B3" s="10" t="s">
        <v>47</v>
      </c>
      <c r="C3" s="29">
        <f>COUNTIFS('REGISTRATION REPORT'!C:C,B3,'REGISTRATION REPORT'!D:D,"MALE")</f>
        <v>8</v>
      </c>
      <c r="D3" s="29">
        <f>COUNTIFS('REGISTRATION REPORT'!C:C,B3,'REGISTRATION REPORT'!D:D,"FEMALE")</f>
        <v>3</v>
      </c>
      <c r="E3" s="56">
        <f>C3/C11*100</f>
        <v>33.333333333333329</v>
      </c>
      <c r="F3" s="56">
        <f>D3/$D$11*100</f>
        <v>18.75</v>
      </c>
      <c r="G3" s="5" t="s">
        <v>57</v>
      </c>
      <c r="H3" s="5" t="s">
        <v>57</v>
      </c>
      <c r="I3" s="5" t="s">
        <v>57</v>
      </c>
      <c r="J3" s="5" t="s">
        <v>57</v>
      </c>
      <c r="K3" s="5" t="s">
        <v>57</v>
      </c>
      <c r="L3" s="5" t="s">
        <v>57</v>
      </c>
      <c r="M3" s="5" t="s">
        <v>57</v>
      </c>
    </row>
    <row r="4" spans="1:13" x14ac:dyDescent="0.25">
      <c r="A4" s="9">
        <v>2</v>
      </c>
      <c r="B4" s="9" t="s">
        <v>50</v>
      </c>
      <c r="C4" s="29">
        <f>COUNTIFS('REGISTRATION REPORT'!C:C,B4,'REGISTRATION REPORT'!D:D,"MALE")</f>
        <v>3</v>
      </c>
      <c r="D4" s="29">
        <f>COUNTIFS('REGISTRATION REPORT'!C:C,B4,'REGISTRATION REPORT'!D:D,"FEMALE")</f>
        <v>2</v>
      </c>
      <c r="E4" s="56">
        <f>C4/C11*100</f>
        <v>12.5</v>
      </c>
      <c r="F4" s="56">
        <f t="shared" ref="F4:F10" si="0">D4/$D$11*100</f>
        <v>12.5</v>
      </c>
      <c r="G4" s="5" t="s">
        <v>57</v>
      </c>
      <c r="H4" s="5" t="s">
        <v>57</v>
      </c>
    </row>
    <row r="5" spans="1:13" x14ac:dyDescent="0.25">
      <c r="A5" s="10">
        <v>3</v>
      </c>
      <c r="B5" s="10" t="s">
        <v>53</v>
      </c>
      <c r="C5" s="29">
        <f>COUNTIFS('REGISTRATION REPORT'!C:C,B5,'REGISTRATION REPORT'!D:D,"MALE")</f>
        <v>1</v>
      </c>
      <c r="D5" s="29">
        <f>COUNTIFS('REGISTRATION REPORT'!C:C,B5,'REGISTRATION REPORT'!D:D,"FEMALE")</f>
        <v>4</v>
      </c>
      <c r="E5" s="56">
        <f>C5/C11*100</f>
        <v>4.1666666666666661</v>
      </c>
      <c r="F5" s="56">
        <f t="shared" si="0"/>
        <v>25</v>
      </c>
      <c r="G5" s="5" t="s">
        <v>57</v>
      </c>
    </row>
    <row r="6" spans="1:13" x14ac:dyDescent="0.25">
      <c r="A6" s="9">
        <v>4</v>
      </c>
      <c r="B6" s="9" t="s">
        <v>51</v>
      </c>
      <c r="C6" s="29">
        <f>COUNTIFS('REGISTRATION REPORT'!C:C,B6,'REGISTRATION REPORT'!D:D,"MALE")</f>
        <v>3</v>
      </c>
      <c r="D6" s="29">
        <f>COUNTIFS('REGISTRATION REPORT'!C:C,B6,'REGISTRATION REPORT'!D:D,"FEMALE")</f>
        <v>1</v>
      </c>
      <c r="E6" s="56">
        <f>C6/C11*100</f>
        <v>12.5</v>
      </c>
      <c r="F6" s="56">
        <f t="shared" si="0"/>
        <v>6.25</v>
      </c>
      <c r="G6" s="5" t="s">
        <v>57</v>
      </c>
    </row>
    <row r="7" spans="1:13" x14ac:dyDescent="0.25">
      <c r="A7" s="10">
        <v>5</v>
      </c>
      <c r="B7" s="10" t="s">
        <v>49</v>
      </c>
      <c r="C7" s="29">
        <f>COUNTIFS('REGISTRATION REPORT'!C:C,B7,'REGISTRATION REPORT'!D:D,"MALE")</f>
        <v>2</v>
      </c>
      <c r="D7" s="29">
        <f>COUNTIFS('REGISTRATION REPORT'!C:C,B7,'REGISTRATION REPORT'!D:D,"FEMALE")</f>
        <v>2</v>
      </c>
      <c r="E7" s="56">
        <f>C7/C11*100</f>
        <v>8.3333333333333321</v>
      </c>
      <c r="F7" s="56">
        <f t="shared" si="0"/>
        <v>12.5</v>
      </c>
      <c r="G7" s="5" t="s">
        <v>57</v>
      </c>
    </row>
    <row r="8" spans="1:13" x14ac:dyDescent="0.25">
      <c r="A8" s="9">
        <v>6</v>
      </c>
      <c r="B8" s="9" t="s">
        <v>48</v>
      </c>
      <c r="C8" s="29">
        <f>COUNTIFS('REGISTRATION REPORT'!C:C,B8,'REGISTRATION REPORT'!D:D,"MALE")</f>
        <v>2</v>
      </c>
      <c r="D8" s="29">
        <f>COUNTIFS('REGISTRATION REPORT'!C:C,B8,'REGISTRATION REPORT'!D:D,"FEMALE")</f>
        <v>2</v>
      </c>
      <c r="E8" s="56">
        <f>C8/C11*100</f>
        <v>8.3333333333333321</v>
      </c>
      <c r="F8" s="56">
        <f t="shared" si="0"/>
        <v>12.5</v>
      </c>
      <c r="G8" s="5" t="s">
        <v>57</v>
      </c>
    </row>
    <row r="9" spans="1:13" x14ac:dyDescent="0.25">
      <c r="A9" s="10">
        <v>7</v>
      </c>
      <c r="B9" s="10" t="s">
        <v>54</v>
      </c>
      <c r="C9" s="29">
        <f>COUNTIFS('REGISTRATION REPORT'!C:C,B9,'REGISTRATION REPORT'!D:D,"MALE")</f>
        <v>2</v>
      </c>
      <c r="D9" s="29">
        <f>COUNTIFS('REGISTRATION REPORT'!C:C,B9,'REGISTRATION REPORT'!D:D,"FEMALE")</f>
        <v>2</v>
      </c>
      <c r="E9" s="56">
        <f>C9/C11*100</f>
        <v>8.3333333333333321</v>
      </c>
      <c r="F9" s="56">
        <f t="shared" si="0"/>
        <v>12.5</v>
      </c>
      <c r="G9" s="5" t="s">
        <v>57</v>
      </c>
    </row>
    <row r="10" spans="1:13" x14ac:dyDescent="0.25">
      <c r="A10" s="9">
        <v>8</v>
      </c>
      <c r="B10" s="9" t="s">
        <v>52</v>
      </c>
      <c r="C10" s="29">
        <f>COUNTIFS('REGISTRATION REPORT'!C:C,B10,'REGISTRATION REPORT'!D:D,"MALE")</f>
        <v>3</v>
      </c>
      <c r="D10" s="29">
        <f>COUNTIFS('REGISTRATION REPORT'!C:C,B10,'REGISTRATION REPORT'!D:D,"FEMALE")</f>
        <v>0</v>
      </c>
      <c r="E10" s="56">
        <f>C10/C11*100</f>
        <v>12.5</v>
      </c>
      <c r="F10" s="56">
        <f t="shared" si="0"/>
        <v>0</v>
      </c>
      <c r="G10" s="5" t="s">
        <v>57</v>
      </c>
    </row>
    <row r="11" spans="1:13" ht="15.75" x14ac:dyDescent="0.25">
      <c r="A11" s="27"/>
      <c r="B11" s="11" t="s">
        <v>60</v>
      </c>
      <c r="C11" s="28">
        <f>SUM(C3:C10)</f>
        <v>24</v>
      </c>
      <c r="D11" s="28">
        <f>SUM(D3:D10)</f>
        <v>16</v>
      </c>
      <c r="E11" s="28">
        <f>SUM(E3:E10)</f>
        <v>99.999999999999986</v>
      </c>
      <c r="F11" s="28">
        <f>SUM(F3:F10)</f>
        <v>100</v>
      </c>
    </row>
  </sheetData>
  <sheetProtection algorithmName="SHA-512" hashValue="MNr267EeOnuxs8Ej1oSJEUNDxwwDk7iRaEkPzERoj/7MUfdxvaRgrYF4rAraCyKqbX6MerEc48u1B80TAjDsbg==" saltValue="dINEhw5nq833aiI3MaN4lw==" spinCount="100000" sheet="1" objects="1" scenarios="1"/>
  <mergeCells count="1">
    <mergeCell ref="A1:F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topLeftCell="A8" workbookViewId="0">
      <selection activeCell="D20" sqref="D20"/>
    </sheetView>
  </sheetViews>
  <sheetFormatPr defaultRowHeight="15" x14ac:dyDescent="0.25"/>
  <cols>
    <col min="1" max="1" width="6.42578125" style="5" customWidth="1"/>
    <col min="2" max="2" width="15" style="5" customWidth="1"/>
    <col min="3" max="3" width="19.7109375" style="5" customWidth="1"/>
    <col min="4" max="4" width="22.28515625" style="5" customWidth="1"/>
    <col min="5" max="5" width="7.140625" style="5" customWidth="1"/>
    <col min="6" max="16384" width="9.140625" style="5"/>
  </cols>
  <sheetData>
    <row r="1" spans="1:6" ht="28.5" customHeight="1" x14ac:dyDescent="0.25">
      <c r="A1" s="93" t="s">
        <v>77</v>
      </c>
      <c r="B1" s="93"/>
      <c r="C1" s="93"/>
      <c r="D1" s="93"/>
      <c r="E1" s="93"/>
      <c r="F1" s="93"/>
    </row>
    <row r="2" spans="1:6" ht="15.75" x14ac:dyDescent="0.25">
      <c r="A2" s="45" t="s">
        <v>59</v>
      </c>
      <c r="B2" s="45" t="s">
        <v>4</v>
      </c>
      <c r="C2" s="45" t="s">
        <v>78</v>
      </c>
      <c r="D2" s="45" t="s">
        <v>79</v>
      </c>
      <c r="E2" s="45" t="s">
        <v>55</v>
      </c>
      <c r="F2" s="45" t="s">
        <v>56</v>
      </c>
    </row>
    <row r="3" spans="1:6" x14ac:dyDescent="0.25">
      <c r="A3" s="46">
        <v>1</v>
      </c>
      <c r="B3" s="46">
        <v>20</v>
      </c>
      <c r="C3" s="26">
        <f>COUNTIF('REGISTRATION REPORT'!E3:E42,B3)</f>
        <v>6</v>
      </c>
      <c r="D3" s="52">
        <f>C3/SUM($C$3:$C$11)*100</f>
        <v>15</v>
      </c>
      <c r="E3" s="26">
        <f>COUNTIFS('REGISTRATION REPORT'!E3:E42,B3,'REGISTRATION REPORT'!D3:D42,"MALE")</f>
        <v>3</v>
      </c>
      <c r="F3" s="26">
        <f>COUNTIFS('REGISTRATION REPORT'!E3:E42,B3,'REGISTRATION REPORT'!D3:D42,"FEMALE")</f>
        <v>3</v>
      </c>
    </row>
    <row r="4" spans="1:6" x14ac:dyDescent="0.25">
      <c r="A4" s="46">
        <v>2</v>
      </c>
      <c r="B4" s="46">
        <v>21</v>
      </c>
      <c r="C4" s="26">
        <f>COUNTIF('REGISTRATION REPORT'!E3:E42,B4)</f>
        <v>5</v>
      </c>
      <c r="D4" s="52">
        <f t="shared" ref="D4:D11" si="0">C4/SUM($C$3:$C$11)*100</f>
        <v>12.5</v>
      </c>
      <c r="E4" s="26">
        <f>COUNTIFS('REGISTRATION REPORT'!E3:E42,B4,'REGISTRATION REPORT'!D3:D42,"MALE")</f>
        <v>2</v>
      </c>
      <c r="F4" s="26">
        <f>COUNTIFS('REGISTRATION REPORT'!E3:E42,B4,'REGISTRATION REPORT'!D3:D42,"FEMALE")</f>
        <v>3</v>
      </c>
    </row>
    <row r="5" spans="1:6" x14ac:dyDescent="0.25">
      <c r="A5" s="46">
        <v>3</v>
      </c>
      <c r="B5" s="46">
        <v>22</v>
      </c>
      <c r="C5" s="26">
        <f>COUNTIF('REGISTRATION REPORT'!E3:E42,B5)</f>
        <v>5</v>
      </c>
      <c r="D5" s="52">
        <f t="shared" si="0"/>
        <v>12.5</v>
      </c>
      <c r="E5" s="26">
        <f>COUNTIFS('REGISTRATION REPORT'!E3:E42,B5,'REGISTRATION REPORT'!D3:D42,"MALE")</f>
        <v>4</v>
      </c>
      <c r="F5" s="26">
        <f>COUNTIFS('REGISTRATION REPORT'!E3:E42,B5,'REGISTRATION REPORT'!D3:D42,"FEMALE")</f>
        <v>1</v>
      </c>
    </row>
    <row r="6" spans="1:6" x14ac:dyDescent="0.25">
      <c r="A6" s="46">
        <v>4</v>
      </c>
      <c r="B6" s="46">
        <v>23</v>
      </c>
      <c r="C6" s="26">
        <f>COUNTIF('REGISTRATION REPORT'!E3:E42,B6)</f>
        <v>6</v>
      </c>
      <c r="D6" s="52">
        <f t="shared" si="0"/>
        <v>15</v>
      </c>
      <c r="E6" s="26">
        <f>COUNTIFS('REGISTRATION REPORT'!E3:E42,B6,'REGISTRATION REPORT'!D3:D42,"MALE")</f>
        <v>4</v>
      </c>
      <c r="F6" s="26">
        <f>COUNTIFS('REGISTRATION REPORT'!E3:E42,B6,'REGISTRATION REPORT'!D3:D42,"FEMALE")</f>
        <v>2</v>
      </c>
    </row>
    <row r="7" spans="1:6" x14ac:dyDescent="0.25">
      <c r="A7" s="46">
        <v>5</v>
      </c>
      <c r="B7" s="46">
        <v>24</v>
      </c>
      <c r="C7" s="26">
        <f>COUNTIF('REGISTRATION REPORT'!E3:E42,B7)</f>
        <v>5</v>
      </c>
      <c r="D7" s="52">
        <f t="shared" si="0"/>
        <v>12.5</v>
      </c>
      <c r="E7" s="26">
        <f>COUNTIFS('REGISTRATION REPORT'!E3:E42,B7,'REGISTRATION REPORT'!D3:D42,"MALE")</f>
        <v>4</v>
      </c>
      <c r="F7" s="26">
        <f>COUNTIFS('REGISTRATION REPORT'!E3:E42,B7,'REGISTRATION REPORT'!D3:D42,"FEMALE")</f>
        <v>1</v>
      </c>
    </row>
    <row r="8" spans="1:6" x14ac:dyDescent="0.25">
      <c r="A8" s="46">
        <v>6</v>
      </c>
      <c r="B8" s="46">
        <v>25</v>
      </c>
      <c r="C8" s="26">
        <f>COUNTIF('REGISTRATION REPORT'!E3:E42,B8)</f>
        <v>4</v>
      </c>
      <c r="D8" s="52">
        <f t="shared" si="0"/>
        <v>10</v>
      </c>
      <c r="E8" s="26">
        <f>COUNTIFS('REGISTRATION REPORT'!E3:E42,B8,'REGISTRATION REPORT'!D3:D42,"MALE")</f>
        <v>3</v>
      </c>
      <c r="F8" s="26">
        <f>COUNTIFS('REGISTRATION REPORT'!E3:E42,B8,'REGISTRATION REPORT'!D3:D42,"FEMALE")</f>
        <v>1</v>
      </c>
    </row>
    <row r="9" spans="1:6" x14ac:dyDescent="0.25">
      <c r="A9" s="46">
        <v>7</v>
      </c>
      <c r="B9" s="46">
        <v>26</v>
      </c>
      <c r="C9" s="26">
        <f>COUNTIF('REGISTRATION REPORT'!E3:E42,B9)</f>
        <v>4</v>
      </c>
      <c r="D9" s="52">
        <f t="shared" si="0"/>
        <v>10</v>
      </c>
      <c r="E9" s="26">
        <f>COUNTIFS('REGISTRATION REPORT'!E3:E42,B9,'REGISTRATION REPORT'!D3:D42,"MALE")</f>
        <v>1</v>
      </c>
      <c r="F9" s="26">
        <f>COUNTIFS('REGISTRATION REPORT'!E3:E42,B9,'REGISTRATION REPORT'!D3:D42,"FEMALE")</f>
        <v>3</v>
      </c>
    </row>
    <row r="10" spans="1:6" x14ac:dyDescent="0.25">
      <c r="A10" s="46">
        <v>8</v>
      </c>
      <c r="B10" s="46">
        <v>27</v>
      </c>
      <c r="C10" s="26">
        <f>COUNTIF('REGISTRATION REPORT'!E3:E42,B10)</f>
        <v>4</v>
      </c>
      <c r="D10" s="52">
        <f t="shared" si="0"/>
        <v>10</v>
      </c>
      <c r="E10" s="26">
        <f>COUNTIFS('REGISTRATION REPORT'!E3:E42,B10,'REGISTRATION REPORT'!D3:D42,"MALE")</f>
        <v>2</v>
      </c>
      <c r="F10" s="26">
        <f>COUNTIFS('REGISTRATION REPORT'!E3:E42,B10,'REGISTRATION REPORT'!D3:D42,"FEMALE")</f>
        <v>2</v>
      </c>
    </row>
    <row r="11" spans="1:6" x14ac:dyDescent="0.25">
      <c r="A11" s="46">
        <v>9</v>
      </c>
      <c r="B11" s="46">
        <v>28</v>
      </c>
      <c r="C11" s="26">
        <f>COUNTIF('REGISTRATION REPORT'!E3:E42,B11)</f>
        <v>1</v>
      </c>
      <c r="D11" s="52">
        <f t="shared" si="0"/>
        <v>2.5</v>
      </c>
      <c r="E11" s="26">
        <f>COUNTIFS('REGISTRATION REPORT'!E3:E42,B11,'REGISTRATION REPORT'!D3:D42,"MALE")</f>
        <v>1</v>
      </c>
      <c r="F11" s="26">
        <f>COUNTIFS('REGISTRATION REPORT'!E3:E42,B11,'REGISTRATION REPORT'!D3:D42,"FEMALE")</f>
        <v>0</v>
      </c>
    </row>
    <row r="12" spans="1:6" ht="16.5" customHeight="1" x14ac:dyDescent="0.25">
      <c r="A12" s="46"/>
      <c r="B12" s="47" t="s">
        <v>60</v>
      </c>
      <c r="C12" s="53">
        <f>SUM(C3:C11)</f>
        <v>40</v>
      </c>
      <c r="D12" s="54">
        <f>SUM(D3:D11)</f>
        <v>100</v>
      </c>
      <c r="E12" s="53">
        <f t="shared" ref="E12:F12" si="1">SUM(E3:E11)</f>
        <v>24</v>
      </c>
      <c r="F12" s="53">
        <f t="shared" si="1"/>
        <v>16</v>
      </c>
    </row>
    <row r="13" spans="1:6" ht="16.5" customHeight="1" x14ac:dyDescent="0.25">
      <c r="A13" s="48"/>
      <c r="B13" s="49"/>
      <c r="C13" s="49"/>
      <c r="D13" s="50"/>
      <c r="E13" s="49"/>
      <c r="F13" s="49"/>
    </row>
    <row r="15" spans="1:6" ht="24.75" customHeight="1" x14ac:dyDescent="0.25">
      <c r="A15" s="93" t="s">
        <v>80</v>
      </c>
      <c r="B15" s="94"/>
      <c r="C15" s="94"/>
      <c r="D15" s="94"/>
    </row>
    <row r="16" spans="1:6" ht="15.75" x14ac:dyDescent="0.25">
      <c r="A16" s="45" t="s">
        <v>59</v>
      </c>
      <c r="B16" s="45" t="s">
        <v>81</v>
      </c>
      <c r="C16" s="45" t="s">
        <v>82</v>
      </c>
      <c r="D16" s="45" t="s">
        <v>83</v>
      </c>
    </row>
    <row r="17" spans="1:4" x14ac:dyDescent="0.25">
      <c r="A17" s="46">
        <v>1</v>
      </c>
      <c r="B17" s="46" t="s">
        <v>84</v>
      </c>
      <c r="C17" s="26">
        <f>COUNTIFS('REGISTRATION REPORT'!E3:E42,"&gt;="&amp;20,'REGISTRATION REPORT'!E3:E42,"&lt;="&amp;22)</f>
        <v>16</v>
      </c>
      <c r="D17" s="52">
        <f>C17/SUM($C$17:$C$19)*100</f>
        <v>40</v>
      </c>
    </row>
    <row r="18" spans="1:4" x14ac:dyDescent="0.25">
      <c r="A18" s="46">
        <v>2</v>
      </c>
      <c r="B18" s="46" t="s">
        <v>85</v>
      </c>
      <c r="C18" s="26">
        <f>COUNTIFS('REGISTRATION REPORT'!E3:E42,"&gt;="&amp;23,'REGISTRATION REPORT'!E3:E42,"&lt;="&amp;25)</f>
        <v>15</v>
      </c>
      <c r="D18" s="52">
        <f t="shared" ref="D18:D20" si="2">C18/SUM($C$17:$C$19)*100</f>
        <v>37.5</v>
      </c>
    </row>
    <row r="19" spans="1:4" x14ac:dyDescent="0.25">
      <c r="A19" s="46">
        <v>3</v>
      </c>
      <c r="B19" s="46" t="s">
        <v>86</v>
      </c>
      <c r="C19" s="26">
        <f>COUNTIFS('REGISTRATION REPORT'!E3:E42,"&gt;="&amp;26,'REGISTRATION REPORT'!E3:E42,"&lt;="&amp;28)</f>
        <v>9</v>
      </c>
      <c r="D19" s="52">
        <f t="shared" si="2"/>
        <v>22.5</v>
      </c>
    </row>
    <row r="20" spans="1:4" ht="17.25" customHeight="1" x14ac:dyDescent="0.25">
      <c r="A20" s="46"/>
      <c r="B20" s="47" t="s">
        <v>60</v>
      </c>
      <c r="C20" s="53">
        <f>SUM(C17:C19)</f>
        <v>40</v>
      </c>
      <c r="D20" s="54">
        <f t="shared" si="2"/>
        <v>100</v>
      </c>
    </row>
    <row r="21" spans="1:4" ht="15.75" thickBot="1" x14ac:dyDescent="0.3"/>
    <row r="22" spans="1:4" ht="21.75" customHeight="1" x14ac:dyDescent="0.25">
      <c r="B22" s="51" t="s">
        <v>75</v>
      </c>
    </row>
    <row r="23" spans="1:4" ht="19.5" customHeight="1" thickBot="1" x14ac:dyDescent="0.3">
      <c r="B23" s="55">
        <f>AVERAGE('REGISTRATION REPORT'!E3:E42)</f>
        <v>23.324999999999999</v>
      </c>
    </row>
  </sheetData>
  <sheetProtection algorithmName="SHA-512" hashValue="dq9OS+n5l+Vc3FdMAU/LZDVisvDVmHdR+r9N2nA7KQ+PXjcveuTncUEco9JGkrU1dhRc0bGiNSqVky9r/McNjg==" saltValue="jcXtQKqbk46X7i12pzaZeA==" spinCount="100000" sheet="1" objects="1" scenarios="1"/>
  <mergeCells count="2">
    <mergeCell ref="A1:F1"/>
    <mergeCell ref="A15:D1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workbookViewId="0">
      <selection activeCell="D3" sqref="D3"/>
    </sheetView>
  </sheetViews>
  <sheetFormatPr defaultRowHeight="15" x14ac:dyDescent="0.25"/>
  <cols>
    <col min="1" max="1" width="15.7109375" customWidth="1"/>
    <col min="2" max="2" width="19" customWidth="1"/>
    <col min="3" max="3" width="12.85546875" customWidth="1"/>
    <col min="4" max="4" width="9.7109375" customWidth="1"/>
    <col min="5" max="5" width="11.7109375" customWidth="1"/>
    <col min="6" max="6" width="11.85546875" customWidth="1"/>
    <col min="7" max="7" width="14.7109375" customWidth="1"/>
    <col min="8" max="8" width="11.5703125" customWidth="1"/>
    <col min="9" max="9" width="10.28515625" customWidth="1"/>
  </cols>
  <sheetData>
    <row r="1" spans="1:9" ht="27" customHeight="1" thickBot="1" x14ac:dyDescent="0.3">
      <c r="A1" s="95" t="s">
        <v>101</v>
      </c>
      <c r="B1" s="95"/>
      <c r="C1" s="95"/>
      <c r="D1" s="95"/>
      <c r="E1" s="95"/>
      <c r="F1" s="95"/>
      <c r="G1" s="95"/>
    </row>
    <row r="2" spans="1:9" ht="32.25" thickBot="1" x14ac:dyDescent="0.3">
      <c r="A2" s="67" t="s">
        <v>102</v>
      </c>
      <c r="B2" s="88">
        <v>17</v>
      </c>
    </row>
    <row r="3" spans="1:9" ht="14.25" customHeight="1" x14ac:dyDescent="0.25">
      <c r="B3" s="67"/>
      <c r="C3" s="68"/>
    </row>
    <row r="4" spans="1:9" x14ac:dyDescent="0.25">
      <c r="A4" s="1" t="s">
        <v>103</v>
      </c>
      <c r="B4" s="71" t="str">
        <f>IFERROR(VLOOKUP($B$2,'REGISTRATION REPORT'!$A$3:$G$42,2,FALSE),"Student Not Found")</f>
        <v>KUNLE THOMAS</v>
      </c>
      <c r="C4" s="44" t="s">
        <v>57</v>
      </c>
    </row>
    <row r="5" spans="1:9" x14ac:dyDescent="0.25">
      <c r="A5" s="1" t="s">
        <v>2</v>
      </c>
      <c r="B5" s="71" t="str">
        <f>IFERROR(VLOOKUP($B$2,'REGISTRATION REPORT'!$A$3:$G$42,3,FALSE),"Student Not Found")</f>
        <v>VIRTUAL ASSISTANT</v>
      </c>
      <c r="C5" t="s">
        <v>57</v>
      </c>
    </row>
    <row r="6" spans="1:9" x14ac:dyDescent="0.25">
      <c r="A6" s="1" t="s">
        <v>3</v>
      </c>
      <c r="B6" s="71" t="str">
        <f>IFERROR(VLOOKUP($B$2,'REGISTRATION REPORT'!$A$3:$G$42,4,FALSE),"Student Not Found")</f>
        <v>MALE</v>
      </c>
      <c r="C6" t="s">
        <v>57</v>
      </c>
    </row>
    <row r="7" spans="1:9" x14ac:dyDescent="0.25">
      <c r="A7" s="1" t="s">
        <v>4</v>
      </c>
      <c r="B7" s="72">
        <f>IFERROR(VLOOKUP($B$2,'REGISTRATION REPORT'!$A$2:$F$41,5,FALSE),"Student Not Found")</f>
        <v>27</v>
      </c>
      <c r="C7" s="3" t="s">
        <v>57</v>
      </c>
    </row>
    <row r="8" spans="1:9" x14ac:dyDescent="0.25">
      <c r="A8" s="1" t="s">
        <v>81</v>
      </c>
      <c r="B8" s="71" t="str">
        <f>IFERROR(VLOOKUP($B$2,'REGISTRATION REPORT'!$A$3:$G$42,6,FALSE),"Student Not Found")</f>
        <v>26-28</v>
      </c>
      <c r="C8" t="s">
        <v>57</v>
      </c>
    </row>
    <row r="9" spans="1:9" x14ac:dyDescent="0.25">
      <c r="A9" s="1" t="s">
        <v>5</v>
      </c>
      <c r="B9" s="71" t="str">
        <f>IFERROR(TEXT(VLOOKUP($B$2,'REGISTRATION REPORT'!$A$3:$G$42,7,FALSE),"MM-DD-YYYY"),"Student Not Found")</f>
        <v>05-05-2026</v>
      </c>
      <c r="C9" t="s">
        <v>57</v>
      </c>
    </row>
    <row r="12" spans="1:9" ht="21" x14ac:dyDescent="0.25">
      <c r="A12" s="95" t="s">
        <v>104</v>
      </c>
      <c r="B12" s="95"/>
      <c r="C12" s="95"/>
      <c r="D12" s="95"/>
      <c r="E12" s="95"/>
      <c r="F12" s="95"/>
      <c r="G12" s="95"/>
      <c r="H12" s="95"/>
      <c r="I12" s="95"/>
    </row>
    <row r="14" spans="1:9" ht="30.75" customHeight="1" x14ac:dyDescent="0.25">
      <c r="B14" s="66" t="s">
        <v>47</v>
      </c>
      <c r="C14" s="66" t="s">
        <v>50</v>
      </c>
      <c r="D14" s="66" t="s">
        <v>53</v>
      </c>
      <c r="E14" s="66" t="s">
        <v>51</v>
      </c>
      <c r="F14" s="66" t="s">
        <v>49</v>
      </c>
      <c r="G14" s="66" t="s">
        <v>48</v>
      </c>
      <c r="H14" s="66" t="s">
        <v>54</v>
      </c>
      <c r="I14" s="66" t="s">
        <v>52</v>
      </c>
    </row>
    <row r="15" spans="1:9" x14ac:dyDescent="0.25">
      <c r="A15" s="1" t="s">
        <v>58</v>
      </c>
      <c r="B15" s="73">
        <f>COUNTIF('REGISTRATION REPORT'!$C$3:$C$42,B14)</f>
        <v>11</v>
      </c>
      <c r="C15" s="73">
        <f>COUNTIF('REGISTRATION REPORT'!$C$3:$C$42,C14)</f>
        <v>5</v>
      </c>
      <c r="D15" s="73">
        <f>COUNTIF('REGISTRATION REPORT'!$C$3:$C$42,D14)</f>
        <v>5</v>
      </c>
      <c r="E15" s="73">
        <f>COUNTIF('REGISTRATION REPORT'!$C$3:$C$42,E14)</f>
        <v>4</v>
      </c>
      <c r="F15" s="73">
        <f>COUNTIF('REGISTRATION REPORT'!$C$3:$C$42,F14)</f>
        <v>4</v>
      </c>
      <c r="G15" s="73">
        <f>COUNTIF('REGISTRATION REPORT'!$C$3:$C$42,G14)</f>
        <v>4</v>
      </c>
      <c r="H15" s="73">
        <f>COUNTIF('REGISTRATION REPORT'!$C$3:$C$42,H14)</f>
        <v>4</v>
      </c>
      <c r="I15" s="73">
        <f>COUNTIF('REGISTRATION REPORT'!$C$3:$C$42,I14)</f>
        <v>3</v>
      </c>
    </row>
    <row r="16" spans="1:9" x14ac:dyDescent="0.25">
      <c r="A16" s="1" t="s">
        <v>55</v>
      </c>
      <c r="B16" s="73">
        <f>COUNTIFS('REGISTRATION REPORT'!$C$3:$C$42,B14,'REGISTRATION REPORT'!$D$3:$D$42,"MALE")</f>
        <v>8</v>
      </c>
      <c r="C16" s="73">
        <f>COUNTIFS('REGISTRATION REPORT'!$C$3:$C$42,C14,'REGISTRATION REPORT'!$D$3:$D$42,"MALE")</f>
        <v>3</v>
      </c>
      <c r="D16" s="73">
        <f>COUNTIFS('REGISTRATION REPORT'!$C$3:$C$42,D14,'REGISTRATION REPORT'!$D$3:$D$42,"MALE")</f>
        <v>1</v>
      </c>
      <c r="E16" s="73">
        <f>COUNTIFS('REGISTRATION REPORT'!$C$3:$C$42,E14,'REGISTRATION REPORT'!$D$3:$D$42,"MALE")</f>
        <v>3</v>
      </c>
      <c r="F16" s="73">
        <f>COUNTIFS('REGISTRATION REPORT'!$C$3:$C$42,F14,'REGISTRATION REPORT'!$D$3:$D$42,"MALE")</f>
        <v>2</v>
      </c>
      <c r="G16" s="73">
        <f>COUNTIFS('REGISTRATION REPORT'!$C$3:$C$42,G14,'REGISTRATION REPORT'!$D$3:$D$42,"MALE")</f>
        <v>2</v>
      </c>
      <c r="H16" s="73">
        <f>COUNTIFS('REGISTRATION REPORT'!$C$3:$C$42,H14,'REGISTRATION REPORT'!$D$3:$D$42,"MALE")</f>
        <v>2</v>
      </c>
      <c r="I16" s="73">
        <f>COUNTIFS('REGISTRATION REPORT'!$C$3:$C$42,I14,'REGISTRATION REPORT'!$D$3:$D$42,"MALE")</f>
        <v>3</v>
      </c>
    </row>
    <row r="17" spans="1:9" x14ac:dyDescent="0.25">
      <c r="A17" s="1" t="s">
        <v>56</v>
      </c>
      <c r="B17" s="73">
        <f>COUNTIFS('REGISTRATION REPORT'!$C$3:$C$42,B14,'REGISTRATION REPORT'!$D$3:$D$42,"FEMALE")</f>
        <v>3</v>
      </c>
      <c r="C17" s="73">
        <f>COUNTIFS('REGISTRATION REPORT'!$C$3:$C$42,C14,'REGISTRATION REPORT'!$D$3:$D$42,"FEMALE")</f>
        <v>2</v>
      </c>
      <c r="D17" s="73">
        <f>COUNTIFS('REGISTRATION REPORT'!$C$3:$C$42,D14,'REGISTRATION REPORT'!$D$3:$D$42,"FEMALE")</f>
        <v>4</v>
      </c>
      <c r="E17" s="73">
        <f>COUNTIFS('REGISTRATION REPORT'!$C$3:$C$42,E14,'REGISTRATION REPORT'!$D$3:$D$42,"FEMALE")</f>
        <v>1</v>
      </c>
      <c r="F17" s="73">
        <f>COUNTIFS('REGISTRATION REPORT'!$C$3:$C$42,F14,'REGISTRATION REPORT'!$D$3:$D$42,"FEMALE")</f>
        <v>2</v>
      </c>
      <c r="G17" s="73">
        <f>COUNTIFS('REGISTRATION REPORT'!$C$3:$C$42,G14,'REGISTRATION REPORT'!$D$3:$D$42,"FEMALE")</f>
        <v>2</v>
      </c>
      <c r="H17" s="73">
        <f>COUNTIFS('REGISTRATION REPORT'!$C$3:$C$42,H14,'REGISTRATION REPORT'!$D$3:$D$42,"FEMALE")</f>
        <v>2</v>
      </c>
      <c r="I17" s="73">
        <f>COUNTIFS('REGISTRATION REPORT'!$C$3:$C$42,I14,'REGISTRATION REPORT'!$D$3:$D$42,"FEMALE")</f>
        <v>0</v>
      </c>
    </row>
    <row r="18" spans="1:9" ht="15.75" thickBot="1" x14ac:dyDescent="0.3"/>
    <row r="19" spans="1:9" ht="29.25" customHeight="1" thickBot="1" x14ac:dyDescent="0.3">
      <c r="A19" s="69" t="s">
        <v>105</v>
      </c>
      <c r="B19" s="89" t="s">
        <v>53</v>
      </c>
    </row>
    <row r="20" spans="1:9" ht="27" customHeight="1" x14ac:dyDescent="0.25">
      <c r="A20" s="70" t="s">
        <v>106</v>
      </c>
      <c r="B20" s="73">
        <f>IFERROR(HLOOKUP($B$19,$B$14:$I$15,2,FALSE),"Course Not Found")</f>
        <v>5</v>
      </c>
    </row>
    <row r="21" spans="1:9" x14ac:dyDescent="0.25">
      <c r="A21" s="1" t="s">
        <v>107</v>
      </c>
      <c r="B21" s="73">
        <f>IFERROR(HLOOKUP($B$19,$B$14:$I$16,3,FALSE),"Course Not Found")</f>
        <v>1</v>
      </c>
    </row>
    <row r="22" spans="1:9" x14ac:dyDescent="0.25">
      <c r="A22" s="70" t="s">
        <v>108</v>
      </c>
      <c r="B22" s="73">
        <f>IFERROR(HLOOKUP($B$19,$B$14:$I$17,4,FALSE),"Course Not Found")</f>
        <v>4</v>
      </c>
    </row>
    <row r="25" spans="1:9" ht="21" x14ac:dyDescent="0.25">
      <c r="A25" s="95" t="s">
        <v>109</v>
      </c>
      <c r="B25" s="95"/>
      <c r="C25" s="95"/>
      <c r="D25" s="95"/>
      <c r="E25" s="95"/>
      <c r="F25" s="95"/>
      <c r="G25" s="95"/>
      <c r="H25" s="95"/>
    </row>
    <row r="26" spans="1:9" ht="15.75" thickBot="1" x14ac:dyDescent="0.3"/>
    <row r="27" spans="1:9" ht="33" customHeight="1" thickBot="1" x14ac:dyDescent="0.3">
      <c r="A27" s="70" t="s">
        <v>110</v>
      </c>
      <c r="B27" s="89" t="s">
        <v>36</v>
      </c>
    </row>
    <row r="28" spans="1:9" x14ac:dyDescent="0.25">
      <c r="B28" s="73"/>
    </row>
    <row r="29" spans="1:9" x14ac:dyDescent="0.25">
      <c r="A29" s="1" t="s">
        <v>111</v>
      </c>
      <c r="B29" s="73">
        <f>IFERROR(INDEX('REGISTRATION REPORT'!$A$3:$A$42,MATCH($B$27,'REGISTRATION REPORT'!$B$3:$B$42,0)),"Student Not Found")</f>
        <v>30</v>
      </c>
    </row>
    <row r="30" spans="1:9" x14ac:dyDescent="0.25">
      <c r="A30" s="1" t="s">
        <v>2</v>
      </c>
      <c r="B30" s="73" t="str">
        <f>IFERROR(INDEX('REGISTRATION REPORT'!$C$3:$C$42,MATCH($B$27,'REGISTRATION REPORT'!$B$3:$B$42,0)),"Student Not Found")</f>
        <v>DATA ANALYSIS</v>
      </c>
    </row>
    <row r="31" spans="1:9" x14ac:dyDescent="0.25">
      <c r="A31" s="1" t="s">
        <v>3</v>
      </c>
      <c r="B31" s="73" t="str">
        <f>IFERROR(INDEX('REGISTRATION REPORT'!$D$3:$D$42,MATCH($B$27,'REGISTRATION REPORT'!$B$3:$B$42,0)),"Student Not Found")</f>
        <v>MALE</v>
      </c>
    </row>
    <row r="32" spans="1:9" x14ac:dyDescent="0.25">
      <c r="A32" s="1" t="s">
        <v>4</v>
      </c>
      <c r="B32" s="73">
        <f>IFERROR(INDEX('REGISTRATION REPORT'!$E$3:$E$42,MATCH($B$27,'REGISTRATION REPORT'!$B$3:$B$42,0)),"Student Not Found")</f>
        <v>26</v>
      </c>
    </row>
    <row r="33" spans="1:2" x14ac:dyDescent="0.25">
      <c r="A33" s="1" t="s">
        <v>81</v>
      </c>
      <c r="B33" s="73" t="str">
        <f>IFERROR(INDEX('REGISTRATION REPORT'!$F$3:$F$42,MATCH($B$27,'REGISTRATION REPORT'!$B$3:$B$42,0)),"Student Not Found")</f>
        <v>26-28</v>
      </c>
    </row>
    <row r="34" spans="1:2" x14ac:dyDescent="0.25">
      <c r="A34" s="1" t="s">
        <v>5</v>
      </c>
      <c r="B34" s="73" t="str">
        <f>IFERROR(TEXT(INDEX('REGISTRATION REPORT'!$G$3:$G$42,MATCH($B$27,'REGISTRATION REPORT'!$B$3:$B$42,0)),"MM-DD-YYYY"),"Student Not Found")</f>
        <v>04-05-2026</v>
      </c>
    </row>
  </sheetData>
  <sheetProtection algorithmName="SHA-512" hashValue="HAcr9HR844Jo9CLup3ynIjWw4Htf2tNGmY81emKdKPDjqAuoGyA0jAI6rUi0taTuqT5UNGplras74gDN0EbApA==" saltValue="dohc1N9buCHzDCV2QBcjdA==" spinCount="100000" sheet="1" objects="1" scenarios="1"/>
  <mergeCells count="3">
    <mergeCell ref="A1:G1"/>
    <mergeCell ref="A12:I12"/>
    <mergeCell ref="A25:H2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"/>
  <sheetViews>
    <sheetView showGridLines="0" showRowColHeaders="0" workbookViewId="0">
      <selection activeCell="N6" sqref="N6"/>
    </sheetView>
  </sheetViews>
  <sheetFormatPr defaultRowHeight="15" x14ac:dyDescent="0.25"/>
  <cols>
    <col min="1" max="1" width="6.7109375" style="5" customWidth="1"/>
    <col min="2" max="2" width="14.85546875" style="5" customWidth="1"/>
    <col min="3" max="3" width="7.7109375" style="5" customWidth="1"/>
    <col min="4" max="4" width="14.85546875" style="5" customWidth="1"/>
    <col min="5" max="5" width="7.28515625" style="5" customWidth="1"/>
    <col min="6" max="6" width="14.7109375" style="5" customWidth="1"/>
    <col min="7" max="7" width="7.140625" style="5" customWidth="1"/>
    <col min="8" max="8" width="14.28515625" style="5" customWidth="1"/>
    <col min="9" max="9" width="7.28515625" style="5" customWidth="1"/>
    <col min="10" max="10" width="14.28515625" style="5" customWidth="1"/>
    <col min="11" max="11" width="6.85546875" style="5" customWidth="1"/>
    <col min="12" max="16384" width="9.140625" style="5"/>
  </cols>
  <sheetData>
    <row r="1" spans="1:11" ht="33.75" customHeight="1" x14ac:dyDescent="0.25">
      <c r="A1" s="96" t="s">
        <v>71</v>
      </c>
      <c r="B1" s="96"/>
      <c r="C1" s="96"/>
      <c r="D1" s="96"/>
      <c r="E1" s="96"/>
      <c r="F1" s="96"/>
      <c r="G1" s="96"/>
      <c r="H1" s="96"/>
      <c r="I1" s="96"/>
      <c r="J1" s="96"/>
      <c r="K1" s="96"/>
    </row>
    <row r="2" spans="1:11" ht="15.75" thickBot="1" x14ac:dyDescent="0.3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</row>
    <row r="3" spans="1:11" ht="29.25" customHeight="1" x14ac:dyDescent="0.25">
      <c r="A3" s="13"/>
      <c r="B3" s="15" t="s">
        <v>72</v>
      </c>
      <c r="C3" s="21"/>
      <c r="D3" s="16" t="s">
        <v>73</v>
      </c>
      <c r="E3" s="21"/>
      <c r="F3" s="16" t="s">
        <v>74</v>
      </c>
      <c r="G3" s="21"/>
      <c r="H3" s="15" t="s">
        <v>76</v>
      </c>
      <c r="I3" s="13"/>
      <c r="J3" s="15" t="s">
        <v>75</v>
      </c>
      <c r="K3" s="13"/>
    </row>
    <row r="4" spans="1:11" ht="47.25" thickBot="1" x14ac:dyDescent="0.75">
      <c r="A4" s="13"/>
      <c r="B4" s="17">
        <f>COUNTA([1]Sheet1!A3:A42)</f>
        <v>40</v>
      </c>
      <c r="C4" s="21"/>
      <c r="D4" s="24" t="str">
        <f>INDEX('COURSE COUNT ANALYSIS'!B3:B10,MATCH(MAX('COURSE COUNT ANALYSIS'!C3:C10),'COURSE COUNT ANALYSIS'!C3:C10,0))</f>
        <v>DATA ANALYSIS</v>
      </c>
      <c r="E4" s="21"/>
      <c r="F4" s="18">
        <f>COUNTIF('REGISTRATION REPORT'!D3:D42,"FEMALE")/COUNTA('REGISTRATION REPORT'!D3:D42)*100</f>
        <v>40</v>
      </c>
      <c r="G4" s="21"/>
      <c r="H4" s="18">
        <f>COUNTIF('REGISTRATION REPORT'!D3:D42,"MALE")/COUNTA('REGISTRATION REPORT'!D3:D42)*100</f>
        <v>60</v>
      </c>
      <c r="I4" s="14"/>
      <c r="J4" s="18">
        <f>AVERAGE('REGISTRATION REPORT'!E3:E42)</f>
        <v>23.324999999999999</v>
      </c>
      <c r="K4" s="13"/>
    </row>
    <row r="5" spans="1:11" x14ac:dyDescent="0.25">
      <c r="A5" s="13"/>
      <c r="B5" s="14"/>
      <c r="C5" s="14"/>
      <c r="D5" s="14" t="s">
        <v>57</v>
      </c>
      <c r="E5" s="14"/>
      <c r="F5" s="14"/>
      <c r="G5" s="14"/>
      <c r="H5" s="14"/>
      <c r="I5" s="13"/>
      <c r="J5" s="13"/>
      <c r="K5" s="13"/>
    </row>
    <row r="6" spans="1:11" x14ac:dyDescent="0.25">
      <c r="A6" s="13"/>
      <c r="B6" s="14"/>
      <c r="C6" s="14"/>
      <c r="D6" s="14"/>
      <c r="E6" s="14"/>
      <c r="F6" s="14"/>
      <c r="G6" s="14"/>
      <c r="H6" s="14"/>
      <c r="I6" s="13"/>
      <c r="J6" s="13"/>
      <c r="K6" s="13" t="s">
        <v>65</v>
      </c>
    </row>
    <row r="7" spans="1:11" ht="15.75" x14ac:dyDescent="0.25">
      <c r="A7" s="13"/>
      <c r="B7" s="19" t="s">
        <v>5</v>
      </c>
      <c r="C7" s="20" t="s">
        <v>58</v>
      </c>
      <c r="D7" s="14"/>
      <c r="E7" s="14"/>
      <c r="F7" s="14"/>
      <c r="G7" s="14"/>
      <c r="H7" s="14"/>
      <c r="I7" s="13"/>
      <c r="J7" s="13"/>
      <c r="K7" s="13"/>
    </row>
    <row r="8" spans="1:11" x14ac:dyDescent="0.25">
      <c r="A8" s="13"/>
      <c r="B8" s="22">
        <v>46027</v>
      </c>
      <c r="C8" s="23">
        <f>COUNTIFS('REGISTRATION REPORT'!G3:G42,B8)</f>
        <v>3</v>
      </c>
      <c r="D8" s="14"/>
      <c r="E8" s="14"/>
      <c r="F8" s="14"/>
      <c r="G8" s="14"/>
      <c r="H8" s="14"/>
      <c r="I8" s="13"/>
      <c r="J8" s="13"/>
      <c r="K8" s="13"/>
    </row>
    <row r="9" spans="1:11" x14ac:dyDescent="0.25">
      <c r="A9" s="13"/>
      <c r="B9" s="22">
        <v>46058</v>
      </c>
      <c r="C9" s="23">
        <f>COUNTIFS('REGISTRATION REPORT'!G3:G42,B9)</f>
        <v>4</v>
      </c>
      <c r="D9" s="14"/>
      <c r="E9" s="14"/>
      <c r="F9" s="14"/>
      <c r="G9" s="14"/>
      <c r="H9" s="14"/>
      <c r="I9" s="13"/>
      <c r="J9" s="13"/>
      <c r="K9" s="13"/>
    </row>
    <row r="10" spans="1:11" x14ac:dyDescent="0.25">
      <c r="A10" s="13"/>
      <c r="B10" s="22">
        <v>46086</v>
      </c>
      <c r="C10" s="23">
        <f>COUNTIFS('REGISTRATION REPORT'!G3:G42,B10)</f>
        <v>6</v>
      </c>
      <c r="D10" s="14"/>
      <c r="E10" s="14"/>
      <c r="F10" s="14"/>
      <c r="G10" s="14"/>
      <c r="H10" s="14"/>
      <c r="I10" s="13"/>
      <c r="J10" s="13"/>
      <c r="K10" s="13"/>
    </row>
    <row r="11" spans="1:11" x14ac:dyDescent="0.25">
      <c r="A11" s="13"/>
      <c r="B11" s="22">
        <v>46117</v>
      </c>
      <c r="C11" s="23">
        <f>COUNTIFS('REGISTRATION REPORT'!G3:G42,B11)</f>
        <v>7</v>
      </c>
      <c r="D11" s="14"/>
      <c r="E11" s="14"/>
      <c r="F11" s="14"/>
      <c r="G11" s="14"/>
      <c r="H11" s="14"/>
      <c r="I11" s="13"/>
      <c r="J11" s="13"/>
      <c r="K11" s="13"/>
    </row>
    <row r="12" spans="1:11" x14ac:dyDescent="0.25">
      <c r="A12" s="13"/>
      <c r="B12" s="22">
        <v>46147</v>
      </c>
      <c r="C12" s="23">
        <f>COUNTIFS('REGISTRATION REPORT'!G3:G42,B12)</f>
        <v>8</v>
      </c>
      <c r="D12" s="14"/>
      <c r="E12" s="14"/>
      <c r="F12" s="14"/>
      <c r="G12" s="14"/>
      <c r="H12" s="14"/>
      <c r="I12" s="13"/>
      <c r="J12" s="13"/>
      <c r="K12" s="13"/>
    </row>
    <row r="13" spans="1:11" x14ac:dyDescent="0.25">
      <c r="A13" s="13"/>
      <c r="B13" s="22">
        <v>46178</v>
      </c>
      <c r="C13" s="23">
        <f>COUNTIFS('REGISTRATION REPORT'!G3:G42,B13)</f>
        <v>2</v>
      </c>
      <c r="D13" s="14"/>
      <c r="E13" s="14"/>
      <c r="F13" s="14"/>
      <c r="G13" s="14"/>
      <c r="H13" s="14"/>
      <c r="I13" s="13"/>
      <c r="J13" s="13"/>
      <c r="K13" s="13"/>
    </row>
    <row r="14" spans="1:11" x14ac:dyDescent="0.25">
      <c r="A14" s="13"/>
      <c r="B14" s="22">
        <v>46208</v>
      </c>
      <c r="C14" s="23">
        <f>COUNTIFS('REGISTRATION REPORT'!G3:G42,B14)</f>
        <v>4</v>
      </c>
      <c r="D14" s="14"/>
      <c r="E14" s="14"/>
      <c r="F14" s="14"/>
      <c r="G14" s="14"/>
      <c r="H14" s="14"/>
      <c r="I14" s="13"/>
      <c r="J14" s="13"/>
      <c r="K14" s="13"/>
    </row>
    <row r="15" spans="1:11" x14ac:dyDescent="0.25">
      <c r="A15" s="13"/>
      <c r="B15" s="22">
        <v>46239</v>
      </c>
      <c r="C15" s="23">
        <f>COUNTIFS('REGISTRATION REPORT'!G3:G42,B15)</f>
        <v>3</v>
      </c>
      <c r="D15" s="14"/>
      <c r="E15" s="14"/>
      <c r="F15" s="14"/>
      <c r="G15" s="14"/>
      <c r="H15" s="14"/>
      <c r="I15" s="13"/>
      <c r="J15" s="13"/>
      <c r="K15" s="13"/>
    </row>
    <row r="16" spans="1:11" x14ac:dyDescent="0.25">
      <c r="A16" s="13"/>
      <c r="B16" s="22">
        <v>46270</v>
      </c>
      <c r="C16" s="23">
        <f>COUNTIFS('REGISTRATION REPORT'!G2:G42,B16)</f>
        <v>3</v>
      </c>
      <c r="D16" s="14"/>
      <c r="E16" s="14"/>
      <c r="F16" s="14"/>
      <c r="G16" s="14"/>
      <c r="H16" s="14"/>
      <c r="I16" s="13"/>
      <c r="J16" s="13"/>
      <c r="K16" s="13"/>
    </row>
    <row r="17" spans="1:11" x14ac:dyDescent="0.25">
      <c r="A17" s="13"/>
      <c r="B17" s="13" t="s">
        <v>57</v>
      </c>
      <c r="C17" s="13"/>
      <c r="D17" s="13"/>
      <c r="E17" s="13"/>
      <c r="F17" s="13"/>
      <c r="G17" s="13"/>
      <c r="H17" s="13"/>
      <c r="I17" s="13"/>
      <c r="J17" s="13"/>
      <c r="K17" s="13"/>
    </row>
    <row r="18" spans="1:11" x14ac:dyDescent="0.25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</row>
    <row r="19" spans="1:11" x14ac:dyDescent="0.25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</row>
  </sheetData>
  <sheetProtection algorithmName="SHA-512" hashValue="LGP/iCwjbkqeMQ6SUh6bqjSDas7KKJ7AOe7w2oyd0xrR88e24h0Gvj8p1gSmXTv3wWn5pUzd6VlzfKgOv/s08w==" saltValue="fylTv+dRir1tUSU8fgGJ6g==" spinCount="100000" sheet="1" objects="1" scenarios="1"/>
  <mergeCells count="1">
    <mergeCell ref="A1:K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31"/>
  <sheetViews>
    <sheetView showGridLines="0" showRowColHeaders="0" workbookViewId="0">
      <selection activeCell="B22" sqref="B22:I23"/>
    </sheetView>
  </sheetViews>
  <sheetFormatPr defaultRowHeight="15" x14ac:dyDescent="0.25"/>
  <cols>
    <col min="1" max="16384" width="9.140625" style="12"/>
  </cols>
  <sheetData>
    <row r="2" spans="2:9" x14ac:dyDescent="0.25">
      <c r="B2" s="100" t="s">
        <v>89</v>
      </c>
      <c r="C2" s="100"/>
      <c r="D2" s="100"/>
      <c r="E2" s="100"/>
      <c r="F2" s="100"/>
      <c r="G2" s="100"/>
      <c r="H2" s="100"/>
      <c r="I2" s="100"/>
    </row>
    <row r="3" spans="2:9" x14ac:dyDescent="0.25">
      <c r="B3" s="100"/>
      <c r="C3" s="100"/>
      <c r="D3" s="100"/>
      <c r="E3" s="100"/>
      <c r="F3" s="100"/>
      <c r="G3" s="100"/>
      <c r="H3" s="100"/>
      <c r="I3" s="100"/>
    </row>
    <row r="5" spans="2:9" ht="18.75" x14ac:dyDescent="0.25">
      <c r="B5" s="97" t="s">
        <v>90</v>
      </c>
      <c r="C5" s="97"/>
      <c r="D5" s="97"/>
    </row>
    <row r="6" spans="2:9" x14ac:dyDescent="0.25">
      <c r="B6" s="98" t="s">
        <v>98</v>
      </c>
      <c r="C6" s="98"/>
      <c r="D6" s="98"/>
      <c r="E6" s="98"/>
      <c r="F6" s="98"/>
      <c r="G6" s="98"/>
      <c r="H6" s="98"/>
      <c r="I6" s="98"/>
    </row>
    <row r="7" spans="2:9" x14ac:dyDescent="0.25">
      <c r="B7" s="98"/>
      <c r="C7" s="98"/>
      <c r="D7" s="98"/>
      <c r="E7" s="98"/>
      <c r="F7" s="98"/>
      <c r="G7" s="98"/>
      <c r="H7" s="98"/>
      <c r="I7" s="98"/>
    </row>
    <row r="9" spans="2:9" ht="18.75" x14ac:dyDescent="0.25">
      <c r="B9" s="97" t="s">
        <v>91</v>
      </c>
      <c r="C9" s="97"/>
      <c r="D9" s="97"/>
    </row>
    <row r="10" spans="2:9" x14ac:dyDescent="0.25">
      <c r="B10" s="98" t="s">
        <v>92</v>
      </c>
      <c r="C10" s="98"/>
      <c r="D10" s="98"/>
      <c r="E10" s="98"/>
      <c r="F10" s="98"/>
      <c r="G10" s="98"/>
      <c r="H10" s="98"/>
      <c r="I10" s="98"/>
    </row>
    <row r="11" spans="2:9" x14ac:dyDescent="0.25">
      <c r="B11" s="98"/>
      <c r="C11" s="98"/>
      <c r="D11" s="98"/>
      <c r="E11" s="98"/>
      <c r="F11" s="98"/>
      <c r="G11" s="98"/>
      <c r="H11" s="98"/>
      <c r="I11" s="98"/>
    </row>
    <row r="13" spans="2:9" ht="18.75" x14ac:dyDescent="0.25">
      <c r="B13" s="97" t="s">
        <v>93</v>
      </c>
      <c r="C13" s="97"/>
      <c r="D13" s="97"/>
    </row>
    <row r="14" spans="2:9" x14ac:dyDescent="0.25">
      <c r="B14" s="98" t="s">
        <v>94</v>
      </c>
      <c r="C14" s="98"/>
      <c r="D14" s="98"/>
      <c r="E14" s="98"/>
      <c r="F14" s="98"/>
      <c r="G14" s="98"/>
      <c r="H14" s="98"/>
      <c r="I14" s="98"/>
    </row>
    <row r="15" spans="2:9" x14ac:dyDescent="0.25">
      <c r="B15" s="98"/>
      <c r="C15" s="98"/>
      <c r="D15" s="98"/>
      <c r="E15" s="98"/>
      <c r="F15" s="98"/>
      <c r="G15" s="98"/>
      <c r="H15" s="98"/>
      <c r="I15" s="98"/>
    </row>
    <row r="17" spans="2:9" ht="18.75" x14ac:dyDescent="0.25">
      <c r="B17" s="97" t="s">
        <v>95</v>
      </c>
      <c r="C17" s="97"/>
      <c r="D17" s="97"/>
    </row>
    <row r="18" spans="2:9" x14ac:dyDescent="0.25">
      <c r="B18" s="98" t="s">
        <v>112</v>
      </c>
      <c r="C18" s="98"/>
      <c r="D18" s="98"/>
      <c r="E18" s="98"/>
      <c r="F18" s="98"/>
      <c r="G18" s="98"/>
      <c r="H18" s="98"/>
      <c r="I18" s="98"/>
    </row>
    <row r="19" spans="2:9" x14ac:dyDescent="0.25">
      <c r="B19" s="98"/>
      <c r="C19" s="98"/>
      <c r="D19" s="98"/>
      <c r="E19" s="98"/>
      <c r="F19" s="98"/>
      <c r="G19" s="98"/>
      <c r="H19" s="98"/>
      <c r="I19" s="98"/>
    </row>
    <row r="21" spans="2:9" ht="18.75" x14ac:dyDescent="0.25">
      <c r="B21" s="97" t="s">
        <v>96</v>
      </c>
      <c r="C21" s="97"/>
      <c r="D21" s="97"/>
    </row>
    <row r="22" spans="2:9" x14ac:dyDescent="0.25">
      <c r="B22" s="98" t="s">
        <v>97</v>
      </c>
      <c r="C22" s="98"/>
      <c r="D22" s="98"/>
      <c r="E22" s="98"/>
      <c r="F22" s="98"/>
      <c r="G22" s="98"/>
      <c r="H22" s="98"/>
      <c r="I22" s="98"/>
    </row>
    <row r="23" spans="2:9" x14ac:dyDescent="0.25">
      <c r="B23" s="98"/>
      <c r="C23" s="98"/>
      <c r="D23" s="98"/>
      <c r="E23" s="98"/>
      <c r="F23" s="98"/>
      <c r="G23" s="98"/>
      <c r="H23" s="98"/>
      <c r="I23" s="98"/>
    </row>
    <row r="24" spans="2:9" x14ac:dyDescent="0.25">
      <c r="B24" s="84"/>
      <c r="C24" s="84"/>
      <c r="D24" s="84"/>
      <c r="E24" s="84"/>
      <c r="F24" s="84"/>
      <c r="G24" s="84"/>
      <c r="H24" s="84"/>
      <c r="I24" s="84"/>
    </row>
    <row r="25" spans="2:9" ht="18.75" x14ac:dyDescent="0.25">
      <c r="B25" s="97" t="s">
        <v>99</v>
      </c>
      <c r="C25" s="97"/>
      <c r="D25" s="97"/>
      <c r="E25" s="84"/>
      <c r="F25" s="84"/>
      <c r="G25" s="84"/>
      <c r="H25" s="84"/>
      <c r="I25" s="84"/>
    </row>
    <row r="26" spans="2:9" ht="15.75" customHeight="1" x14ac:dyDescent="0.25">
      <c r="B26" s="99" t="s">
        <v>113</v>
      </c>
      <c r="C26" s="99"/>
      <c r="D26" s="99"/>
      <c r="E26" s="99"/>
      <c r="F26" s="99"/>
      <c r="G26" s="99"/>
      <c r="H26" s="99"/>
      <c r="I26" s="99"/>
    </row>
    <row r="27" spans="2:9" ht="15.75" customHeight="1" x14ac:dyDescent="0.25">
      <c r="B27" s="99"/>
      <c r="C27" s="99"/>
      <c r="D27" s="99"/>
      <c r="E27" s="99"/>
      <c r="F27" s="99"/>
      <c r="G27" s="99"/>
      <c r="H27" s="99"/>
      <c r="I27" s="99"/>
    </row>
    <row r="29" spans="2:9" ht="18.75" x14ac:dyDescent="0.25">
      <c r="B29" s="97" t="s">
        <v>100</v>
      </c>
      <c r="C29" s="97"/>
      <c r="D29" s="97"/>
    </row>
    <row r="30" spans="2:9" x14ac:dyDescent="0.25">
      <c r="B30" s="98" t="s">
        <v>114</v>
      </c>
      <c r="C30" s="98"/>
      <c r="D30" s="98"/>
      <c r="E30" s="98"/>
      <c r="F30" s="98"/>
      <c r="G30" s="98"/>
      <c r="H30" s="98"/>
      <c r="I30" s="98"/>
    </row>
    <row r="31" spans="2:9" x14ac:dyDescent="0.25">
      <c r="B31" s="98"/>
      <c r="C31" s="98"/>
      <c r="D31" s="98"/>
      <c r="E31" s="98"/>
      <c r="F31" s="98"/>
      <c r="G31" s="98"/>
      <c r="H31" s="98"/>
      <c r="I31" s="98"/>
    </row>
  </sheetData>
  <sheetProtection algorithmName="SHA-512" hashValue="djeKVjRfPXHa9KKPD/LLTxIwJB8KarbdsVoJyx0WFMBJb6TC4otpBmrWk3JJ/OAADd52PQLSXpPTzzALojmecg==" saltValue="CRBowNn5e8WNsC1NYEPOdg==" spinCount="100000" sheet="1" objects="1" scenarios="1"/>
  <mergeCells count="15">
    <mergeCell ref="B2:I3"/>
    <mergeCell ref="B5:D5"/>
    <mergeCell ref="B6:I7"/>
    <mergeCell ref="B30:I31"/>
    <mergeCell ref="B25:D25"/>
    <mergeCell ref="B26:I27"/>
    <mergeCell ref="B9:D9"/>
    <mergeCell ref="B10:I11"/>
    <mergeCell ref="B13:D13"/>
    <mergeCell ref="B14:I15"/>
    <mergeCell ref="B17:D17"/>
    <mergeCell ref="B18:I19"/>
    <mergeCell ref="B21:D21"/>
    <mergeCell ref="B22:I23"/>
    <mergeCell ref="B29:D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REGISTRATION REPORT</vt:lpstr>
      <vt:lpstr>PIVOT TABLE</vt:lpstr>
      <vt:lpstr>COURSE COUNT ANALYSIS</vt:lpstr>
      <vt:lpstr>GENDER ANALYSIS</vt:lpstr>
      <vt:lpstr>AGE ANALYSIS</vt:lpstr>
      <vt:lpstr>LOOKUP ANALYSIS</vt:lpstr>
      <vt:lpstr>DASHBOARD</vt:lpstr>
      <vt:lpstr>EXECUTIVE SUMMARY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2026-05-10T12:24:36Z</cp:lastPrinted>
  <dcterms:created xsi:type="dcterms:W3CDTF">2026-05-09T10:27:35Z</dcterms:created>
  <dcterms:modified xsi:type="dcterms:W3CDTF">2026-05-10T14:52:58Z</dcterms:modified>
</cp:coreProperties>
</file>